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  <sheet name="Aul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<sst xmlns="http://schemas.openxmlformats.org/spreadsheetml/2006/main" count="833" uniqueCount="29">
  <si>
    <t xml:space="preserve">Cronograma de estudo - Curso de UX</t>
  </si>
  <si>
    <t xml:space="preserve">Total de horas do curso restante</t>
  </si>
  <si>
    <t xml:space="preserve">Data de inicio</t>
  </si>
  <si>
    <t xml:space="preserve">Total de dias de estudo</t>
  </si>
  <si>
    <t xml:space="preserve">Data de termino (prevista)</t>
  </si>
  <si>
    <t xml:space="preserve">Dia</t>
  </si>
  <si>
    <t xml:space="preserve">Data</t>
  </si>
  <si>
    <t xml:space="preserve">Dia da semana</t>
  </si>
  <si>
    <t xml:space="preserve">Qtd. aulas</t>
  </si>
  <si>
    <t xml:space="preserve">Minutos</t>
  </si>
  <si>
    <t xml:space="preserve">Horas do dia</t>
  </si>
  <si>
    <t xml:space="preserve">Horas acumuladas</t>
  </si>
  <si>
    <t xml:space="preserve">Horas restantes</t>
  </si>
  <si>
    <t xml:space="preserve">% concluido</t>
  </si>
  <si>
    <t xml:space="preserve">Status</t>
  </si>
  <si>
    <t xml:space="preserve">Sabado</t>
  </si>
  <si>
    <t xml:space="preserve">Pendente</t>
  </si>
  <si>
    <t xml:space="preserve">Domingo</t>
  </si>
  <si>
    <t xml:space="preserve">Segunda-feira</t>
  </si>
  <si>
    <t xml:space="preserve">Terca-feira</t>
  </si>
  <si>
    <t xml:space="preserve">Quarta-feira</t>
  </si>
  <si>
    <t xml:space="preserve">Quinta-feira</t>
  </si>
  <si>
    <t xml:space="preserve">Sexta-feira</t>
  </si>
  <si>
    <t xml:space="preserve">Aula #</t>
  </si>
  <si>
    <t xml:space="preserve">Bloco</t>
  </si>
  <si>
    <t xml:space="preserve">Duracao (min)</t>
  </si>
  <si>
    <t xml:space="preserve">Dia atribuido</t>
  </si>
  <si>
    <t xml:space="preserve">Iniciado</t>
  </si>
  <si>
    <t xml:space="preserve">IA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</si>
</sst>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&quot; h&quot;"/>
    <numFmt numFmtId="166" formatCode="dd/mm/yyyy"/>
    <numFmt numFmtId="167" formatCode="General"/>
    <numFmt numFmtId="168" formatCode="0.0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3" t="n">
        <f aca="false">SUM(F5:F44)</f>
        <v>259.916666666667</v>
      </c>
      <c r="C2" s="2" t="s">
        <v>2</v>
      </c>
      <c r="D2" s="4" t="n">
        <f aca="false">MIN(B5:B44)</f>
        <v>46200</v>
      </c>
    </row>
    <row r="3" customFormat="false" ht="15" hidden="false" customHeight="false" outlineLevel="0" collapsed="false">
      <c r="A3" s="2" t="s">
        <v>3</v>
      </c>
      <c r="B3" s="5" t="n">
        <f aca="false">COUNTA(A5:A44)</f>
        <v>40</v>
      </c>
      <c r="C3" s="2" t="s">
        <v>4</v>
      </c>
      <c r="D3" s="4" t="n">
        <f aca="false">MAX(B5:B44)</f>
        <v>46239</v>
      </c>
    </row>
    <row r="4" customFormat="false" ht="15" hidden="false" customHeight="false" outlineLevel="0" collapsed="false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</row>
    <row r="5" customFormat="false" ht="15" hidden="false" customHeight="false" outlineLevel="0" collapsed="false">
      <c r="A5" s="7" t="n">
        <v>1</v>
      </c>
      <c r="B5" s="8" t="n">
        <v>46200</v>
      </c>
      <c r="C5" s="9" t="s">
        <v>15</v>
      </c>
      <c r="D5" s="9" t="n">
        <f aca="false">COUNTIF(Aulas!$D$2:$D$367,A5)</f>
        <v>25</v>
      </c>
      <c r="E5" s="9" t="n">
        <f aca="false">SUMIF(Aulas!$D$2:$D$367,A5,Aulas!$C$2:$C$367)</f>
        <v>360</v>
      </c>
      <c r="F5" s="10" t="n">
        <f aca="false">E5/60</f>
        <v>6</v>
      </c>
      <c r="G5" s="10" t="n">
        <f aca="false">F5</f>
        <v>6</v>
      </c>
      <c r="H5" s="10" t="n">
        <f aca="false">$B$2-G5</f>
        <v>253.916666666667</v>
      </c>
      <c r="I5" s="11" t="n">
        <f aca="false">G5/$B$2</f>
        <v>0.0230843218980442</v>
      </c>
      <c r="J5" s="9" t="s">
        <v>16</v>
      </c>
    </row>
    <row r="6" customFormat="false" ht="15" hidden="false" customHeight="false" outlineLevel="0" collapsed="false">
      <c r="A6" s="7" t="n">
        <v>2</v>
      </c>
      <c r="B6" s="8" t="n">
        <v>46201</v>
      </c>
      <c r="C6" s="9" t="s">
        <v>17</v>
      </c>
      <c r="D6" s="9" t="n">
        <f aca="false">COUNTIF(Aulas!$D$2:$D$367,A6)</f>
        <v>32</v>
      </c>
      <c r="E6" s="9" t="n">
        <f aca="false">SUMIF(Aulas!$D$2:$D$367,A6,Aulas!$C$2:$C$367)</f>
        <v>377</v>
      </c>
      <c r="F6" s="10" t="n">
        <f aca="false">E6/60</f>
        <v>6.28333333333333</v>
      </c>
      <c r="G6" s="10" t="n">
        <f aca="false">G5+F6</f>
        <v>12.2833333333333</v>
      </c>
      <c r="H6" s="10" t="n">
        <f aca="false">$B$2-G6</f>
        <v>247.633333333333</v>
      </c>
      <c r="I6" s="11" t="n">
        <f aca="false">G6/$B$2</f>
        <v>0.0472587367746073</v>
      </c>
      <c r="J6" s="9" t="s">
        <v>16</v>
      </c>
    </row>
    <row r="7" customFormat="false" ht="15" hidden="false" customHeight="false" outlineLevel="0" collapsed="false">
      <c r="A7" s="7" t="n">
        <v>3</v>
      </c>
      <c r="B7" s="8" t="n">
        <v>46202</v>
      </c>
      <c r="C7" s="9" t="s">
        <v>18</v>
      </c>
      <c r="D7" s="9" t="n">
        <f aca="false">COUNTIF(Aulas!$D$2:$D$367,A7)</f>
        <v>15</v>
      </c>
      <c r="E7" s="9" t="n">
        <f aca="false">SUMIF(Aulas!$D$2:$D$367,A7,Aulas!$C$2:$C$367)</f>
        <v>361</v>
      </c>
      <c r="F7" s="10" t="n">
        <f aca="false">E7/60</f>
        <v>6.01666666666667</v>
      </c>
      <c r="G7" s="10" t="n">
        <f aca="false">G6+F7</f>
        <v>18.3</v>
      </c>
      <c r="H7" s="10" t="n">
        <f aca="false">$B$2-G7</f>
        <v>241.616666666667</v>
      </c>
      <c r="I7" s="11" t="n">
        <f aca="false">G7/$B$2</f>
        <v>0.070407181789035</v>
      </c>
      <c r="J7" s="9" t="s">
        <v>16</v>
      </c>
    </row>
    <row r="8" customFormat="false" ht="15" hidden="false" customHeight="false" outlineLevel="0" collapsed="false">
      <c r="A8" s="7" t="n">
        <v>4</v>
      </c>
      <c r="B8" s="8" t="n">
        <v>46203</v>
      </c>
      <c r="C8" s="9" t="s">
        <v>19</v>
      </c>
      <c r="D8" s="9" t="n">
        <f aca="false">COUNTIF(Aulas!$D$2:$D$367,A8)</f>
        <v>11</v>
      </c>
      <c r="E8" s="9" t="n">
        <f aca="false">SUMIF(Aulas!$D$2:$D$367,A8,Aulas!$C$2:$C$367)</f>
        <v>401</v>
      </c>
      <c r="F8" s="10" t="n">
        <f aca="false">E8/60</f>
        <v>6.68333333333333</v>
      </c>
      <c r="G8" s="10" t="n">
        <f aca="false">G7+F8</f>
        <v>24.9833333333333</v>
      </c>
      <c r="H8" s="10" t="n">
        <f aca="false">$B$2-G8</f>
        <v>234.933333333333</v>
      </c>
      <c r="I8" s="11" t="n">
        <f aca="false">G8/$B$2</f>
        <v>0.0961205514588009</v>
      </c>
      <c r="J8" s="9" t="s">
        <v>16</v>
      </c>
    </row>
    <row r="9" customFormat="false" ht="15" hidden="false" customHeight="false" outlineLevel="0" collapsed="false">
      <c r="A9" s="7" t="n">
        <v>5</v>
      </c>
      <c r="B9" s="8" t="n">
        <v>46204</v>
      </c>
      <c r="C9" s="9" t="s">
        <v>20</v>
      </c>
      <c r="D9" s="9" t="n">
        <f aca="false">COUNTIF(Aulas!$D$2:$D$367,A9)</f>
        <v>6</v>
      </c>
      <c r="E9" s="9" t="n">
        <f aca="false">SUMIF(Aulas!$D$2:$D$367,A9,Aulas!$C$2:$C$367)</f>
        <v>383</v>
      </c>
      <c r="F9" s="10" t="n">
        <f aca="false">E9/60</f>
        <v>6.38333333333333</v>
      </c>
      <c r="G9" s="10" t="n">
        <f aca="false">G8+F9</f>
        <v>31.3666666666667</v>
      </c>
      <c r="H9" s="10" t="n">
        <f aca="false">$B$2-G9</f>
        <v>228.55</v>
      </c>
      <c r="I9" s="11" t="n">
        <f aca="false">G9/$B$2</f>
        <v>0.120679705033665</v>
      </c>
      <c r="J9" s="9" t="s">
        <v>16</v>
      </c>
    </row>
    <row r="10" customFormat="false" ht="15" hidden="false" customHeight="false" outlineLevel="0" collapsed="false">
      <c r="A10" s="7" t="n">
        <v>6</v>
      </c>
      <c r="B10" s="8" t="n">
        <v>46205</v>
      </c>
      <c r="C10" s="9" t="s">
        <v>21</v>
      </c>
      <c r="D10" s="9" t="n">
        <f aca="false">COUNTIF(Aulas!$D$2:$D$367,A10)</f>
        <v>7</v>
      </c>
      <c r="E10" s="9" t="n">
        <f aca="false">SUMIF(Aulas!$D$2:$D$367,A10,Aulas!$C$2:$C$367)</f>
        <v>427</v>
      </c>
      <c r="F10" s="10" t="n">
        <f aca="false">E10/60</f>
        <v>7.11666666666667</v>
      </c>
      <c r="G10" s="10" t="n">
        <f aca="false">G9+F10</f>
        <v>38.4833333333333</v>
      </c>
      <c r="H10" s="10" t="n">
        <f aca="false">$B$2-G10</f>
        <v>221.433333333333</v>
      </c>
      <c r="I10" s="11" t="n">
        <f aca="false">G10/$B$2</f>
        <v>0.1480602757294</v>
      </c>
      <c r="J10" s="9" t="s">
        <v>16</v>
      </c>
    </row>
    <row r="11" customFormat="false" ht="15" hidden="false" customHeight="false" outlineLevel="0" collapsed="false">
      <c r="A11" s="7" t="n">
        <v>7</v>
      </c>
      <c r="B11" s="8" t="n">
        <v>46206</v>
      </c>
      <c r="C11" s="9" t="s">
        <v>22</v>
      </c>
      <c r="D11" s="9" t="n">
        <f aca="false">COUNTIF(Aulas!$D$2:$D$367,A11)</f>
        <v>12</v>
      </c>
      <c r="E11" s="9" t="n">
        <f aca="false">SUMIF(Aulas!$D$2:$D$367,A11,Aulas!$C$2:$C$367)</f>
        <v>404</v>
      </c>
      <c r="F11" s="10" t="n">
        <f aca="false">E11/60</f>
        <v>6.73333333333333</v>
      </c>
      <c r="G11" s="10" t="n">
        <f aca="false">G10+F11</f>
        <v>45.2166666666667</v>
      </c>
      <c r="H11" s="10" t="n">
        <f aca="false">$B$2-G11</f>
        <v>214.7</v>
      </c>
      <c r="I11" s="11" t="n">
        <f aca="false">G11/$B$2</f>
        <v>0.173966014748317</v>
      </c>
      <c r="J11" s="9" t="s">
        <v>16</v>
      </c>
    </row>
    <row r="12" customFormat="false" ht="15" hidden="false" customHeight="false" outlineLevel="0" collapsed="false">
      <c r="A12" s="7" t="n">
        <v>8</v>
      </c>
      <c r="B12" s="8" t="n">
        <v>46207</v>
      </c>
      <c r="C12" s="9" t="s">
        <v>15</v>
      </c>
      <c r="D12" s="9" t="n">
        <f aca="false">COUNTIF(Aulas!$D$2:$D$367,A12)</f>
        <v>13</v>
      </c>
      <c r="E12" s="9" t="n">
        <f aca="false">SUMIF(Aulas!$D$2:$D$367,A12,Aulas!$C$2:$C$367)</f>
        <v>373</v>
      </c>
      <c r="F12" s="10" t="n">
        <f aca="false">E12/60</f>
        <v>6.21666666666667</v>
      </c>
      <c r="G12" s="10" t="n">
        <f aca="false">G11+F12</f>
        <v>51.4333333333333</v>
      </c>
      <c r="H12" s="10" t="n">
        <f aca="false">$B$2-G12</f>
        <v>208.483333333333</v>
      </c>
      <c r="I12" s="11" t="n">
        <f aca="false">G12/$B$2</f>
        <v>0.197883937159346</v>
      </c>
      <c r="J12" s="9" t="s">
        <v>16</v>
      </c>
    </row>
    <row r="13" customFormat="false" ht="15" hidden="false" customHeight="false" outlineLevel="0" collapsed="false">
      <c r="A13" s="7" t="n">
        <v>9</v>
      </c>
      <c r="B13" s="8" t="n">
        <v>46208</v>
      </c>
      <c r="C13" s="9" t="s">
        <v>17</v>
      </c>
      <c r="D13" s="9" t="n">
        <f aca="false">COUNTIF(Aulas!$D$2:$D$367,A13)</f>
        <v>10</v>
      </c>
      <c r="E13" s="9" t="n">
        <f aca="false">SUMIF(Aulas!$D$2:$D$367,A13,Aulas!$C$2:$C$367)</f>
        <v>383</v>
      </c>
      <c r="F13" s="10" t="n">
        <f aca="false">E13/60</f>
        <v>6.38333333333333</v>
      </c>
      <c r="G13" s="10" t="n">
        <f aca="false">G12+F13</f>
        <v>57.8166666666667</v>
      </c>
      <c r="H13" s="10" t="n">
        <f aca="false">$B$2-G13</f>
        <v>202.1</v>
      </c>
      <c r="I13" s="11" t="n">
        <f aca="false">G13/$B$2</f>
        <v>0.22244309073421</v>
      </c>
      <c r="J13" s="9" t="s">
        <v>16</v>
      </c>
    </row>
    <row r="14" customFormat="false" ht="15" hidden="false" customHeight="false" outlineLevel="0" collapsed="false">
      <c r="A14" s="7" t="n">
        <v>10</v>
      </c>
      <c r="B14" s="8" t="n">
        <v>46209</v>
      </c>
      <c r="C14" s="9" t="s">
        <v>18</v>
      </c>
      <c r="D14" s="9" t="n">
        <f aca="false">COUNTIF(Aulas!$D$2:$D$367,A14)</f>
        <v>8</v>
      </c>
      <c r="E14" s="9" t="n">
        <f aca="false">SUMIF(Aulas!$D$2:$D$367,A14,Aulas!$C$2:$C$367)</f>
        <v>430</v>
      </c>
      <c r="F14" s="10" t="n">
        <f aca="false">E14/60</f>
        <v>7.16666666666667</v>
      </c>
      <c r="G14" s="10" t="n">
        <f aca="false">G13+F14</f>
        <v>64.9833333333333</v>
      </c>
      <c r="H14" s="10" t="n">
        <f aca="false">$B$2-G14</f>
        <v>194.933333333333</v>
      </c>
      <c r="I14" s="11" t="n">
        <f aca="false">G14/$B$2</f>
        <v>0.250016030779096</v>
      </c>
      <c r="J14" s="9" t="s">
        <v>16</v>
      </c>
    </row>
    <row r="15" customFormat="false" ht="15" hidden="false" customHeight="false" outlineLevel="0" collapsed="false">
      <c r="A15" s="7" t="n">
        <v>11</v>
      </c>
      <c r="B15" s="8" t="n">
        <v>46210</v>
      </c>
      <c r="C15" s="9" t="s">
        <v>19</v>
      </c>
      <c r="D15" s="9" t="n">
        <f aca="false">COUNTIF(Aulas!$D$2:$D$367,A15)</f>
        <v>16</v>
      </c>
      <c r="E15" s="9" t="n">
        <f aca="false">SUMIF(Aulas!$D$2:$D$367,A15,Aulas!$C$2:$C$367)</f>
        <v>368</v>
      </c>
      <c r="F15" s="10" t="n">
        <f aca="false">E15/60</f>
        <v>6.13333333333333</v>
      </c>
      <c r="G15" s="10" t="n">
        <f aca="false">G14+F15</f>
        <v>71.1166666666667</v>
      </c>
      <c r="H15" s="10" t="n">
        <f aca="false">$B$2-G15</f>
        <v>188.8</v>
      </c>
      <c r="I15" s="11" t="n">
        <f aca="false">G15/$B$2</f>
        <v>0.273613337608208</v>
      </c>
      <c r="J15" s="9" t="s">
        <v>16</v>
      </c>
    </row>
    <row r="16" customFormat="false" ht="15" hidden="false" customHeight="false" outlineLevel="0" collapsed="false">
      <c r="A16" s="7" t="n">
        <v>12</v>
      </c>
      <c r="B16" s="8" t="n">
        <v>46211</v>
      </c>
      <c r="C16" s="9" t="s">
        <v>20</v>
      </c>
      <c r="D16" s="9" t="n">
        <f aca="false">COUNTIF(Aulas!$D$2:$D$367,A16)</f>
        <v>20</v>
      </c>
      <c r="E16" s="9" t="n">
        <f aca="false">SUMIF(Aulas!$D$2:$D$367,A16,Aulas!$C$2:$C$367)</f>
        <v>391</v>
      </c>
      <c r="F16" s="10" t="n">
        <f aca="false">E16/60</f>
        <v>6.51666666666667</v>
      </c>
      <c r="G16" s="10" t="n">
        <f aca="false">G15+F16</f>
        <v>77.6333333333333</v>
      </c>
      <c r="H16" s="10" t="n">
        <f aca="false">$B$2-G16</f>
        <v>182.283333333333</v>
      </c>
      <c r="I16" s="11" t="n">
        <f aca="false">G16/$B$2</f>
        <v>0.298685476114139</v>
      </c>
      <c r="J16" s="9" t="s">
        <v>16</v>
      </c>
    </row>
    <row r="17" customFormat="false" ht="15" hidden="false" customHeight="false" outlineLevel="0" collapsed="false">
      <c r="A17" s="7" t="n">
        <v>13</v>
      </c>
      <c r="B17" s="8" t="n">
        <v>46212</v>
      </c>
      <c r="C17" s="9" t="s">
        <v>21</v>
      </c>
      <c r="D17" s="9" t="n">
        <f aca="false">COUNTIF(Aulas!$D$2:$D$367,A17)</f>
        <v>10</v>
      </c>
      <c r="E17" s="9" t="n">
        <f aca="false">SUMIF(Aulas!$D$2:$D$367,A17,Aulas!$C$2:$C$367)</f>
        <v>439</v>
      </c>
      <c r="F17" s="10" t="n">
        <f aca="false">E17/60</f>
        <v>7.31666666666667</v>
      </c>
      <c r="G17" s="10" t="n">
        <f aca="false">G16+F17</f>
        <v>84.95</v>
      </c>
      <c r="H17" s="10" t="n">
        <f aca="false">$B$2-G17</f>
        <v>174.966666666667</v>
      </c>
      <c r="I17" s="11" t="n">
        <f aca="false">G17/$B$2</f>
        <v>0.326835524206477</v>
      </c>
      <c r="J17" s="9" t="s">
        <v>16</v>
      </c>
    </row>
    <row r="18" customFormat="false" ht="15" hidden="false" customHeight="false" outlineLevel="0" collapsed="false">
      <c r="A18" s="7" t="n">
        <v>14</v>
      </c>
      <c r="B18" s="8" t="n">
        <v>46213</v>
      </c>
      <c r="C18" s="9" t="s">
        <v>22</v>
      </c>
      <c r="D18" s="9" t="n">
        <f aca="false">COUNTIF(Aulas!$D$2:$D$367,A18)</f>
        <v>5</v>
      </c>
      <c r="E18" s="9" t="n">
        <f aca="false">SUMIF(Aulas!$D$2:$D$367,A18,Aulas!$C$2:$C$367)</f>
        <v>429</v>
      </c>
      <c r="F18" s="10" t="n">
        <f aca="false">E18/60</f>
        <v>7.15</v>
      </c>
      <c r="G18" s="10" t="n">
        <f aca="false">G17+F18</f>
        <v>92.1</v>
      </c>
      <c r="H18" s="10" t="n">
        <f aca="false">$B$2-G18</f>
        <v>167.816666666667</v>
      </c>
      <c r="I18" s="11" t="n">
        <f aca="false">G18/$B$2</f>
        <v>0.354344341134979</v>
      </c>
      <c r="J18" s="9" t="s">
        <v>16</v>
      </c>
    </row>
    <row r="19" customFormat="false" ht="15" hidden="false" customHeight="false" outlineLevel="0" collapsed="false">
      <c r="A19" s="7" t="n">
        <v>15</v>
      </c>
      <c r="B19" s="8" t="n">
        <v>46214</v>
      </c>
      <c r="C19" s="9" t="s">
        <v>15</v>
      </c>
      <c r="D19" s="9" t="n">
        <f aca="false">COUNTIF(Aulas!$D$2:$D$367,A19)</f>
        <v>5</v>
      </c>
      <c r="E19" s="9" t="n">
        <f aca="false">SUMIF(Aulas!$D$2:$D$367,A19,Aulas!$C$2:$C$367)</f>
        <v>418</v>
      </c>
      <c r="F19" s="10" t="n">
        <f aca="false">E19/60</f>
        <v>6.96666666666667</v>
      </c>
      <c r="G19" s="10" t="n">
        <f aca="false">G18+F19</f>
        <v>99.0666666666667</v>
      </c>
      <c r="H19" s="10" t="n">
        <f aca="false">$B$2-G19</f>
        <v>160.85</v>
      </c>
      <c r="I19" s="11" t="n">
        <f aca="false">G19/$B$2</f>
        <v>0.381147803783264</v>
      </c>
      <c r="J19" s="9" t="s">
        <v>16</v>
      </c>
    </row>
    <row r="20" customFormat="false" ht="15" hidden="false" customHeight="false" outlineLevel="0" collapsed="false">
      <c r="A20" s="7" t="n">
        <v>16</v>
      </c>
      <c r="B20" s="8" t="n">
        <v>46215</v>
      </c>
      <c r="C20" s="9" t="s">
        <v>17</v>
      </c>
      <c r="D20" s="9" t="n">
        <f aca="false">COUNTIF(Aulas!$D$2:$D$367,A20)</f>
        <v>5</v>
      </c>
      <c r="E20" s="9" t="n">
        <f aca="false">SUMIF(Aulas!$D$2:$D$367,A20,Aulas!$C$2:$C$367)</f>
        <v>395</v>
      </c>
      <c r="F20" s="10" t="n">
        <f aca="false">E20/60</f>
        <v>6.58333333333333</v>
      </c>
      <c r="G20" s="10" t="n">
        <f aca="false">G19+F20</f>
        <v>105.65</v>
      </c>
      <c r="H20" s="10" t="n">
        <f aca="false">$B$2-G20</f>
        <v>154.266666666667</v>
      </c>
      <c r="I20" s="11" t="n">
        <f aca="false">G20/$B$2</f>
        <v>0.406476434754729</v>
      </c>
      <c r="J20" s="9" t="s">
        <v>16</v>
      </c>
    </row>
    <row r="21" customFormat="false" ht="15" hidden="false" customHeight="false" outlineLevel="0" collapsed="false">
      <c r="A21" s="7" t="n">
        <v>17</v>
      </c>
      <c r="B21" s="8" t="n">
        <v>46216</v>
      </c>
      <c r="C21" s="9" t="s">
        <v>18</v>
      </c>
      <c r="D21" s="9" t="n">
        <f aca="false">COUNTIF(Aulas!$D$2:$D$367,A21)</f>
        <v>6</v>
      </c>
      <c r="E21" s="9" t="n">
        <f aca="false">SUMIF(Aulas!$D$2:$D$367,A21,Aulas!$C$2:$C$367)</f>
        <v>442</v>
      </c>
      <c r="F21" s="10" t="n">
        <f aca="false">E21/60</f>
        <v>7.36666666666667</v>
      </c>
      <c r="G21" s="10" t="n">
        <f aca="false">G20+F21</f>
        <v>113.016666666667</v>
      </c>
      <c r="H21" s="10" t="n">
        <f aca="false">$B$2-G21</f>
        <v>146.9</v>
      </c>
      <c r="I21" s="11" t="n">
        <f aca="false">G21/$B$2</f>
        <v>0.434818852196217</v>
      </c>
      <c r="J21" s="9" t="s">
        <v>16</v>
      </c>
    </row>
    <row r="22" customFormat="false" ht="15" hidden="false" customHeight="false" outlineLevel="0" collapsed="false">
      <c r="A22" s="7" t="n">
        <v>18</v>
      </c>
      <c r="B22" s="8" t="n">
        <v>46217</v>
      </c>
      <c r="C22" s="9" t="s">
        <v>19</v>
      </c>
      <c r="D22" s="9" t="n">
        <f aca="false">COUNTIF(Aulas!$D$2:$D$367,A22)</f>
        <v>6</v>
      </c>
      <c r="E22" s="9" t="n">
        <f aca="false">SUMIF(Aulas!$D$2:$D$367,A22,Aulas!$C$2:$C$367)</f>
        <v>386</v>
      </c>
      <c r="F22" s="10" t="n">
        <f aca="false">E22/60</f>
        <v>6.43333333333333</v>
      </c>
      <c r="G22" s="10" t="n">
        <f aca="false">G21+F22</f>
        <v>119.45</v>
      </c>
      <c r="H22" s="10" t="n">
        <f aca="false">$B$2-G22</f>
        <v>140.466666666667</v>
      </c>
      <c r="I22" s="11" t="n">
        <f aca="false">G22/$B$2</f>
        <v>0.459570375120231</v>
      </c>
      <c r="J22" s="9" t="s">
        <v>16</v>
      </c>
    </row>
    <row r="23" customFormat="false" ht="15" hidden="false" customHeight="false" outlineLevel="0" collapsed="false">
      <c r="A23" s="7" t="n">
        <v>19</v>
      </c>
      <c r="B23" s="8" t="n">
        <v>46218</v>
      </c>
      <c r="C23" s="9" t="s">
        <v>20</v>
      </c>
      <c r="D23" s="9" t="n">
        <f aca="false">COUNTIF(Aulas!$D$2:$D$367,A23)</f>
        <v>6</v>
      </c>
      <c r="E23" s="9" t="n">
        <f aca="false">SUMIF(Aulas!$D$2:$D$367,A23,Aulas!$C$2:$C$367)</f>
        <v>414</v>
      </c>
      <c r="F23" s="10" t="n">
        <f aca="false">E23/60</f>
        <v>6.9</v>
      </c>
      <c r="G23" s="10" t="n">
        <f aca="false">G22+F23</f>
        <v>126.35</v>
      </c>
      <c r="H23" s="10" t="n">
        <f aca="false">$B$2-G23</f>
        <v>133.566666666667</v>
      </c>
      <c r="I23" s="11" t="n">
        <f aca="false">G23/$B$2</f>
        <v>0.486117345302982</v>
      </c>
      <c r="J23" s="9" t="s">
        <v>16</v>
      </c>
    </row>
    <row r="24" customFormat="false" ht="15" hidden="false" customHeight="false" outlineLevel="0" collapsed="false">
      <c r="A24" s="7" t="n">
        <v>20</v>
      </c>
      <c r="B24" s="8" t="n">
        <v>46219</v>
      </c>
      <c r="C24" s="9" t="s">
        <v>21</v>
      </c>
      <c r="D24" s="9" t="n">
        <f aca="false">COUNTIF(Aulas!$D$2:$D$367,A24)</f>
        <v>6</v>
      </c>
      <c r="E24" s="9" t="n">
        <f aca="false">SUMIF(Aulas!$D$2:$D$367,A24,Aulas!$C$2:$C$367)</f>
        <v>387</v>
      </c>
      <c r="F24" s="10" t="n">
        <f aca="false">E24/60</f>
        <v>6.45</v>
      </c>
      <c r="G24" s="10" t="n">
        <f aca="false">G23+F24</f>
        <v>132.8</v>
      </c>
      <c r="H24" s="10" t="n">
        <f aca="false">$B$2-G24</f>
        <v>127.116666666667</v>
      </c>
      <c r="I24" s="11" t="n">
        <f aca="false">G24/$B$2</f>
        <v>0.510932991343379</v>
      </c>
      <c r="J24" s="9" t="s">
        <v>16</v>
      </c>
    </row>
    <row r="25" customFormat="false" ht="15" hidden="false" customHeight="false" outlineLevel="0" collapsed="false">
      <c r="A25" s="7" t="n">
        <v>21</v>
      </c>
      <c r="B25" s="8" t="n">
        <v>46220</v>
      </c>
      <c r="C25" s="9" t="s">
        <v>22</v>
      </c>
      <c r="D25" s="9" t="n">
        <f aca="false">COUNTIF(Aulas!$D$2:$D$367,A25)</f>
        <v>7</v>
      </c>
      <c r="E25" s="9" t="n">
        <f aca="false">SUMIF(Aulas!$D$2:$D$367,A25,Aulas!$C$2:$C$367)</f>
        <v>395</v>
      </c>
      <c r="F25" s="10" t="n">
        <f aca="false">E25/60</f>
        <v>6.58333333333333</v>
      </c>
      <c r="G25" s="10" t="n">
        <f aca="false">G24+F25</f>
        <v>139.383333333333</v>
      </c>
      <c r="H25" s="10" t="n">
        <f aca="false">$B$2-G25</f>
        <v>120.533333333333</v>
      </c>
      <c r="I25" s="11" t="n">
        <f aca="false">G25/$B$2</f>
        <v>0.536261622314845</v>
      </c>
      <c r="J25" s="9" t="s">
        <v>16</v>
      </c>
    </row>
    <row r="26" customFormat="false" ht="15" hidden="false" customHeight="false" outlineLevel="0" collapsed="false">
      <c r="A26" s="7" t="n">
        <v>22</v>
      </c>
      <c r="B26" s="8" t="n">
        <v>46221</v>
      </c>
      <c r="C26" s="9" t="s">
        <v>15</v>
      </c>
      <c r="D26" s="9" t="n">
        <f aca="false">COUNTIF(Aulas!$D$2:$D$367,A26)</f>
        <v>7</v>
      </c>
      <c r="E26" s="9" t="n">
        <f aca="false">SUMIF(Aulas!$D$2:$D$367,A26,Aulas!$C$2:$C$367)</f>
        <v>421</v>
      </c>
      <c r="F26" s="10" t="n">
        <f aca="false">E26/60</f>
        <v>7.01666666666667</v>
      </c>
      <c r="G26" s="10" t="n">
        <f aca="false">G25+F26</f>
        <v>146.4</v>
      </c>
      <c r="H26" s="10" t="n">
        <f aca="false">$B$2-G26</f>
        <v>113.516666666667</v>
      </c>
      <c r="I26" s="11" t="n">
        <f aca="false">G26/$B$2</f>
        <v>0.56325745431228</v>
      </c>
      <c r="J26" s="9" t="s">
        <v>16</v>
      </c>
    </row>
    <row r="27" customFormat="false" ht="15" hidden="false" customHeight="false" outlineLevel="0" collapsed="false">
      <c r="A27" s="7" t="n">
        <v>23</v>
      </c>
      <c r="B27" s="8" t="n">
        <v>46222</v>
      </c>
      <c r="C27" s="9" t="s">
        <v>17</v>
      </c>
      <c r="D27" s="9" t="n">
        <f aca="false">COUNTIF(Aulas!$D$2:$D$367,A27)</f>
        <v>6</v>
      </c>
      <c r="E27" s="9" t="n">
        <f aca="false">SUMIF(Aulas!$D$2:$D$367,A27,Aulas!$C$2:$C$367)</f>
        <v>407</v>
      </c>
      <c r="F27" s="10" t="n">
        <f aca="false">E27/60</f>
        <v>6.78333333333333</v>
      </c>
      <c r="G27" s="10" t="n">
        <f aca="false">G26+F27</f>
        <v>153.183333333333</v>
      </c>
      <c r="H27" s="10" t="n">
        <f aca="false">$B$2-G27</f>
        <v>106.733333333333</v>
      </c>
      <c r="I27" s="11" t="n">
        <f aca="false">G27/$B$2</f>
        <v>0.589355562680347</v>
      </c>
      <c r="J27" s="9" t="s">
        <v>16</v>
      </c>
    </row>
    <row r="28" customFormat="false" ht="15" hidden="false" customHeight="false" outlineLevel="0" collapsed="false">
      <c r="A28" s="7" t="n">
        <v>24</v>
      </c>
      <c r="B28" s="8" t="n">
        <v>46223</v>
      </c>
      <c r="C28" s="9" t="s">
        <v>18</v>
      </c>
      <c r="D28" s="9" t="n">
        <f aca="false">COUNTIF(Aulas!$D$2:$D$367,A28)</f>
        <v>5</v>
      </c>
      <c r="E28" s="9" t="n">
        <f aca="false">SUMIF(Aulas!$D$2:$D$367,A28,Aulas!$C$2:$C$367)</f>
        <v>361</v>
      </c>
      <c r="F28" s="10" t="n">
        <f aca="false">E28/60</f>
        <v>6.01666666666667</v>
      </c>
      <c r="G28" s="10" t="n">
        <f aca="false">G27+F28</f>
        <v>159.2</v>
      </c>
      <c r="H28" s="10" t="n">
        <f aca="false">$B$2-G28</f>
        <v>100.716666666667</v>
      </c>
      <c r="I28" s="11" t="n">
        <f aca="false">G28/$B$2</f>
        <v>0.612504007694774</v>
      </c>
      <c r="J28" s="9" t="s">
        <v>16</v>
      </c>
    </row>
    <row r="29" customFormat="false" ht="15" hidden="false" customHeight="false" outlineLevel="0" collapsed="false">
      <c r="A29" s="7" t="n">
        <v>25</v>
      </c>
      <c r="B29" s="8" t="n">
        <v>46224</v>
      </c>
      <c r="C29" s="9" t="s">
        <v>19</v>
      </c>
      <c r="D29" s="9" t="n">
        <f aca="false">COUNTIF(Aulas!$D$2:$D$367,A29)</f>
        <v>5</v>
      </c>
      <c r="E29" s="9" t="n">
        <f aca="false">SUMIF(Aulas!$D$2:$D$367,A29,Aulas!$C$2:$C$367)</f>
        <v>378</v>
      </c>
      <c r="F29" s="10" t="n">
        <f aca="false">E29/60</f>
        <v>6.3</v>
      </c>
      <c r="G29" s="10" t="n">
        <f aca="false">G28+F29</f>
        <v>165.5</v>
      </c>
      <c r="H29" s="10" t="n">
        <f aca="false">$B$2-G29</f>
        <v>94.4166666666666</v>
      </c>
      <c r="I29" s="11" t="n">
        <f aca="false">G29/$B$2</f>
        <v>0.636742545687721</v>
      </c>
      <c r="J29" s="9" t="s">
        <v>16</v>
      </c>
    </row>
    <row r="30" customFormat="false" ht="15" hidden="false" customHeight="false" outlineLevel="0" collapsed="false">
      <c r="A30" s="7" t="n">
        <v>26</v>
      </c>
      <c r="B30" s="8" t="n">
        <v>46225</v>
      </c>
      <c r="C30" s="9" t="s">
        <v>20</v>
      </c>
      <c r="D30" s="9" t="n">
        <f aca="false">COUNTIF(Aulas!$D$2:$D$367,A30)</f>
        <v>5</v>
      </c>
      <c r="E30" s="9" t="n">
        <f aca="false">SUMIF(Aulas!$D$2:$D$367,A30,Aulas!$C$2:$C$367)</f>
        <v>382</v>
      </c>
      <c r="F30" s="10" t="n">
        <f aca="false">E30/60</f>
        <v>6.36666666666667</v>
      </c>
      <c r="G30" s="10" t="n">
        <f aca="false">G29+F30</f>
        <v>171.866666666667</v>
      </c>
      <c r="H30" s="10" t="n">
        <f aca="false">$B$2-G30</f>
        <v>88.0499999999999</v>
      </c>
      <c r="I30" s="11" t="n">
        <f aca="false">G30/$B$2</f>
        <v>0.661237576146201</v>
      </c>
      <c r="J30" s="9" t="s">
        <v>16</v>
      </c>
    </row>
    <row r="31" customFormat="false" ht="15" hidden="false" customHeight="false" outlineLevel="0" collapsed="false">
      <c r="A31" s="7" t="n">
        <v>27</v>
      </c>
      <c r="B31" s="8" t="n">
        <v>46226</v>
      </c>
      <c r="C31" s="9" t="s">
        <v>21</v>
      </c>
      <c r="D31" s="9" t="n">
        <f aca="false">COUNTIF(Aulas!$D$2:$D$367,A31)</f>
        <v>5</v>
      </c>
      <c r="E31" s="9" t="n">
        <f aca="false">SUMIF(Aulas!$D$2:$D$367,A31,Aulas!$C$2:$C$367)</f>
        <v>380</v>
      </c>
      <c r="F31" s="10" t="n">
        <f aca="false">E31/60</f>
        <v>6.33333333333333</v>
      </c>
      <c r="G31" s="10" t="n">
        <f aca="false">G30+F31</f>
        <v>178.2</v>
      </c>
      <c r="H31" s="10" t="n">
        <f aca="false">$B$2-G31</f>
        <v>81.7166666666666</v>
      </c>
      <c r="I31" s="11" t="n">
        <f aca="false">G31/$B$2</f>
        <v>0.685604360371914</v>
      </c>
      <c r="J31" s="9" t="s">
        <v>16</v>
      </c>
    </row>
    <row r="32" customFormat="false" ht="15" hidden="false" customHeight="false" outlineLevel="0" collapsed="false">
      <c r="A32" s="7" t="n">
        <v>28</v>
      </c>
      <c r="B32" s="8" t="n">
        <v>46227</v>
      </c>
      <c r="C32" s="9" t="s">
        <v>22</v>
      </c>
      <c r="D32" s="9" t="n">
        <f aca="false">COUNTIF(Aulas!$D$2:$D$367,A32)</f>
        <v>5</v>
      </c>
      <c r="E32" s="9" t="n">
        <f aca="false">SUMIF(Aulas!$D$2:$D$367,A32,Aulas!$C$2:$C$367)</f>
        <v>393</v>
      </c>
      <c r="F32" s="10" t="n">
        <f aca="false">E32/60</f>
        <v>6.55</v>
      </c>
      <c r="G32" s="10" t="n">
        <f aca="false">G31+F32</f>
        <v>184.75</v>
      </c>
      <c r="H32" s="10" t="n">
        <f aca="false">$B$2-G32</f>
        <v>75.1666666666665</v>
      </c>
      <c r="I32" s="11" t="n">
        <f aca="false">G32/$B$2</f>
        <v>0.710804745110613</v>
      </c>
      <c r="J32" s="9" t="s">
        <v>16</v>
      </c>
    </row>
    <row r="33" customFormat="false" ht="15" hidden="false" customHeight="false" outlineLevel="0" collapsed="false">
      <c r="A33" s="7" t="n">
        <v>29</v>
      </c>
      <c r="B33" s="8" t="n">
        <v>46228</v>
      </c>
      <c r="C33" s="9" t="s">
        <v>15</v>
      </c>
      <c r="D33" s="9" t="n">
        <f aca="false">COUNTIF(Aulas!$D$2:$D$367,A33)</f>
        <v>6</v>
      </c>
      <c r="E33" s="9" t="n">
        <f aca="false">SUMIF(Aulas!$D$2:$D$367,A33,Aulas!$C$2:$C$367)</f>
        <v>411</v>
      </c>
      <c r="F33" s="10" t="n">
        <f aca="false">E33/60</f>
        <v>6.85</v>
      </c>
      <c r="G33" s="10" t="n">
        <f aca="false">G32+F33</f>
        <v>191.6</v>
      </c>
      <c r="H33" s="10" t="n">
        <f aca="false">$B$2-G33</f>
        <v>68.3166666666666</v>
      </c>
      <c r="I33" s="11" t="n">
        <f aca="false">G33/$B$2</f>
        <v>0.737159345944213</v>
      </c>
      <c r="J33" s="9" t="s">
        <v>16</v>
      </c>
    </row>
    <row r="34" customFormat="false" ht="15" hidden="false" customHeight="false" outlineLevel="0" collapsed="false">
      <c r="A34" s="7" t="n">
        <v>30</v>
      </c>
      <c r="B34" s="8" t="n">
        <v>46229</v>
      </c>
      <c r="C34" s="9" t="s">
        <v>17</v>
      </c>
      <c r="D34" s="9" t="n">
        <f aca="false">COUNTIF(Aulas!$D$2:$D$367,A34)</f>
        <v>5</v>
      </c>
      <c r="E34" s="9" t="n">
        <f aca="false">SUMIF(Aulas!$D$2:$D$367,A34,Aulas!$C$2:$C$367)</f>
        <v>380</v>
      </c>
      <c r="F34" s="10" t="n">
        <f aca="false">E34/60</f>
        <v>6.33333333333333</v>
      </c>
      <c r="G34" s="10" t="n">
        <f aca="false">G33+F34</f>
        <v>197.933333333333</v>
      </c>
      <c r="H34" s="10" t="n">
        <f aca="false">$B$2-G34</f>
        <v>61.9833333333332</v>
      </c>
      <c r="I34" s="11" t="n">
        <f aca="false">G34/$B$2</f>
        <v>0.761526130169927</v>
      </c>
      <c r="J34" s="9" t="s">
        <v>16</v>
      </c>
    </row>
    <row r="35" customFormat="false" ht="15" hidden="false" customHeight="false" outlineLevel="0" collapsed="false">
      <c r="A35" s="7" t="n">
        <v>31</v>
      </c>
      <c r="B35" s="8" t="n">
        <v>46230</v>
      </c>
      <c r="C35" s="9" t="s">
        <v>18</v>
      </c>
      <c r="D35" s="9" t="n">
        <f aca="false">COUNTIF(Aulas!$D$2:$D$367,A35)</f>
        <v>5</v>
      </c>
      <c r="E35" s="9" t="n">
        <f aca="false">SUMIF(Aulas!$D$2:$D$367,A35,Aulas!$C$2:$C$367)</f>
        <v>376</v>
      </c>
      <c r="F35" s="10" t="n">
        <f aca="false">E35/60</f>
        <v>6.26666666666667</v>
      </c>
      <c r="G35" s="10" t="n">
        <f aca="false">G34+F35</f>
        <v>204.2</v>
      </c>
      <c r="H35" s="10" t="n">
        <f aca="false">$B$2-G35</f>
        <v>55.7166666666665</v>
      </c>
      <c r="I35" s="11" t="n">
        <f aca="false">G35/$B$2</f>
        <v>0.785636421930106</v>
      </c>
      <c r="J35" s="9" t="s">
        <v>16</v>
      </c>
    </row>
    <row r="36" customFormat="false" ht="15" hidden="false" customHeight="false" outlineLevel="0" collapsed="false">
      <c r="A36" s="7" t="n">
        <v>32</v>
      </c>
      <c r="B36" s="8" t="n">
        <v>46231</v>
      </c>
      <c r="C36" s="9" t="s">
        <v>19</v>
      </c>
      <c r="D36" s="9" t="n">
        <f aca="false">COUNTIF(Aulas!$D$2:$D$367,A36)</f>
        <v>6</v>
      </c>
      <c r="E36" s="9" t="n">
        <f aca="false">SUMIF(Aulas!$D$2:$D$367,A36,Aulas!$C$2:$C$367)</f>
        <v>421</v>
      </c>
      <c r="F36" s="10" t="n">
        <f aca="false">E36/60</f>
        <v>7.01666666666667</v>
      </c>
      <c r="G36" s="10" t="n">
        <f aca="false">G35+F36</f>
        <v>211.216666666667</v>
      </c>
      <c r="H36" s="10" t="n">
        <f aca="false">$B$2-G36</f>
        <v>48.6999999999999</v>
      </c>
      <c r="I36" s="11" t="n">
        <f aca="false">G36/$B$2</f>
        <v>0.812632253927542</v>
      </c>
      <c r="J36" s="9" t="s">
        <v>16</v>
      </c>
    </row>
    <row r="37" customFormat="false" ht="15" hidden="false" customHeight="false" outlineLevel="0" collapsed="false">
      <c r="A37" s="7" t="n">
        <v>33</v>
      </c>
      <c r="B37" s="8" t="n">
        <v>46232</v>
      </c>
      <c r="C37" s="9" t="s">
        <v>20</v>
      </c>
      <c r="D37" s="9" t="n">
        <f aca="false">COUNTIF(Aulas!$D$2:$D$367,A37)</f>
        <v>6</v>
      </c>
      <c r="E37" s="9" t="n">
        <f aca="false">SUMIF(Aulas!$D$2:$D$367,A37,Aulas!$C$2:$C$367)</f>
        <v>424</v>
      </c>
      <c r="F37" s="10" t="n">
        <f aca="false">E37/60</f>
        <v>7.06666666666667</v>
      </c>
      <c r="G37" s="10" t="n">
        <f aca="false">G36+F37</f>
        <v>218.283333333333</v>
      </c>
      <c r="H37" s="10" t="n">
        <f aca="false">$B$2-G37</f>
        <v>41.6333333333332</v>
      </c>
      <c r="I37" s="11" t="n">
        <f aca="false">G37/$B$2</f>
        <v>0.839820455274127</v>
      </c>
      <c r="J37" s="9" t="s">
        <v>16</v>
      </c>
    </row>
    <row r="38" customFormat="false" ht="15" hidden="false" customHeight="false" outlineLevel="0" collapsed="false">
      <c r="A38" s="7" t="n">
        <v>34</v>
      </c>
      <c r="B38" s="8" t="n">
        <v>46233</v>
      </c>
      <c r="C38" s="9" t="s">
        <v>21</v>
      </c>
      <c r="D38" s="9" t="n">
        <f aca="false">COUNTIF(Aulas!$D$2:$D$367,A38)</f>
        <v>5</v>
      </c>
      <c r="E38" s="9" t="n">
        <f aca="false">SUMIF(Aulas!$D$2:$D$367,A38,Aulas!$C$2:$C$367)</f>
        <v>392</v>
      </c>
      <c r="F38" s="10" t="n">
        <f aca="false">E38/60</f>
        <v>6.53333333333333</v>
      </c>
      <c r="G38" s="10" t="n">
        <f aca="false">G37+F38</f>
        <v>224.816666666667</v>
      </c>
      <c r="H38" s="10" t="n">
        <f aca="false">$B$2-G38</f>
        <v>35.0999999999999</v>
      </c>
      <c r="I38" s="11" t="n">
        <f aca="false">G38/$B$2</f>
        <v>0.864956716896442</v>
      </c>
      <c r="J38" s="9" t="s">
        <v>16</v>
      </c>
    </row>
    <row r="39" customFormat="false" ht="15" hidden="false" customHeight="false" outlineLevel="0" collapsed="false">
      <c r="A39" s="7" t="n">
        <v>35</v>
      </c>
      <c r="B39" s="8" t="n">
        <v>46234</v>
      </c>
      <c r="C39" s="9" t="s">
        <v>22</v>
      </c>
      <c r="D39" s="9" t="n">
        <f aca="false">COUNTIF(Aulas!$D$2:$D$367,A39)</f>
        <v>6</v>
      </c>
      <c r="E39" s="9" t="n">
        <f aca="false">SUMIF(Aulas!$D$2:$D$367,A39,Aulas!$C$2:$C$367)</f>
        <v>396</v>
      </c>
      <c r="F39" s="10" t="n">
        <f aca="false">E39/60</f>
        <v>6.6</v>
      </c>
      <c r="G39" s="10" t="n">
        <f aca="false">G38+F39</f>
        <v>231.416666666667</v>
      </c>
      <c r="H39" s="10" t="n">
        <f aca="false">$B$2-G39</f>
        <v>28.4999999999999</v>
      </c>
      <c r="I39" s="11" t="n">
        <f aca="false">G39/$B$2</f>
        <v>0.89034947098429</v>
      </c>
      <c r="J39" s="9" t="s">
        <v>16</v>
      </c>
    </row>
    <row r="40" customFormat="false" ht="15" hidden="false" customHeight="false" outlineLevel="0" collapsed="false">
      <c r="A40" s="7" t="n">
        <v>36</v>
      </c>
      <c r="B40" s="8" t="n">
        <v>46235</v>
      </c>
      <c r="C40" s="9" t="s">
        <v>15</v>
      </c>
      <c r="D40" s="9" t="n">
        <f aca="false">COUNTIF(Aulas!$D$2:$D$367,A40)</f>
        <v>6</v>
      </c>
      <c r="E40" s="9" t="n">
        <f aca="false">SUMIF(Aulas!$D$2:$D$367,A40,Aulas!$C$2:$C$367)</f>
        <v>398</v>
      </c>
      <c r="F40" s="10" t="n">
        <f aca="false">E40/60</f>
        <v>6.63333333333333</v>
      </c>
      <c r="G40" s="10" t="n">
        <f aca="false">G39+F40</f>
        <v>238.05</v>
      </c>
      <c r="H40" s="10" t="n">
        <f aca="false">$B$2-G40</f>
        <v>21.8666666666665</v>
      </c>
      <c r="I40" s="11" t="n">
        <f aca="false">G40/$B$2</f>
        <v>0.915870471304906</v>
      </c>
      <c r="J40" s="9" t="s">
        <v>16</v>
      </c>
    </row>
    <row r="41" customFormat="false" ht="15" hidden="false" customHeight="false" outlineLevel="0" collapsed="false">
      <c r="A41" s="7" t="n">
        <v>37</v>
      </c>
      <c r="B41" s="8" t="n">
        <v>46236</v>
      </c>
      <c r="C41" s="9" t="s">
        <v>17</v>
      </c>
      <c r="D41" s="9" t="n">
        <f aca="false">COUNTIF(Aulas!$D$2:$D$367,A41)</f>
        <v>6</v>
      </c>
      <c r="E41" s="9" t="n">
        <f aca="false">SUMIF(Aulas!$D$2:$D$367,A41,Aulas!$C$2:$C$367)</f>
        <v>339</v>
      </c>
      <c r="F41" s="10" t="n">
        <f aca="false">E41/60</f>
        <v>5.65</v>
      </c>
      <c r="G41" s="10" t="n">
        <f aca="false">G40+F41</f>
        <v>243.7</v>
      </c>
      <c r="H41" s="10" t="n">
        <f aca="false">$B$2-G41</f>
        <v>16.2166666666665</v>
      </c>
      <c r="I41" s="11" t="n">
        <f aca="false">G41/$B$2</f>
        <v>0.937608207758898</v>
      </c>
      <c r="J41" s="9" t="s">
        <v>16</v>
      </c>
    </row>
    <row r="42" customFormat="false" ht="15" hidden="false" customHeight="false" outlineLevel="0" collapsed="false">
      <c r="A42" s="7" t="n">
        <v>38</v>
      </c>
      <c r="B42" s="8" t="n">
        <v>46237</v>
      </c>
      <c r="C42" s="9" t="s">
        <v>18</v>
      </c>
      <c r="D42" s="9" t="n">
        <f aca="false">COUNTIF(Aulas!$D$2:$D$367,A42)</f>
        <v>5</v>
      </c>
      <c r="E42" s="9" t="n">
        <f aca="false">SUMIF(Aulas!$D$2:$D$367,A42,Aulas!$C$2:$C$367)</f>
        <v>393</v>
      </c>
      <c r="F42" s="10" t="n">
        <f aca="false">E42/60</f>
        <v>6.55</v>
      </c>
      <c r="G42" s="10" t="n">
        <f aca="false">G41+F42</f>
        <v>250.25</v>
      </c>
      <c r="H42" s="10" t="n">
        <f aca="false">$B$2-G42</f>
        <v>9.66666666666652</v>
      </c>
      <c r="I42" s="11" t="n">
        <f aca="false">G42/$B$2</f>
        <v>0.962808592497596</v>
      </c>
      <c r="J42" s="9" t="s">
        <v>16</v>
      </c>
    </row>
    <row r="43" customFormat="false" ht="15" hidden="false" customHeight="false" outlineLevel="0" collapsed="false">
      <c r="A43" s="7" t="n">
        <v>39</v>
      </c>
      <c r="B43" s="8" t="n">
        <v>46238</v>
      </c>
      <c r="C43" s="9" t="s">
        <v>19</v>
      </c>
      <c r="D43" s="9" t="n">
        <f aca="false">COUNTIF(Aulas!$D$2:$D$367,A43)</f>
        <v>24</v>
      </c>
      <c r="E43" s="9" t="n">
        <f aca="false">SUMIF(Aulas!$D$2:$D$367,A43,Aulas!$C$2:$C$367)</f>
        <v>365</v>
      </c>
      <c r="F43" s="10" t="n">
        <f aca="false">E43/60</f>
        <v>6.08333333333333</v>
      </c>
      <c r="G43" s="10" t="n">
        <f aca="false">G42+F43</f>
        <v>256.333333333333</v>
      </c>
      <c r="H43" s="10" t="n">
        <f aca="false">$B$2-G43</f>
        <v>3.5833333333332</v>
      </c>
      <c r="I43" s="11" t="n">
        <f aca="false">G43/$B$2</f>
        <v>0.986213529977557</v>
      </c>
      <c r="J43" s="9" t="s">
        <v>16</v>
      </c>
    </row>
    <row r="44" customFormat="false" ht="15" hidden="false" customHeight="false" outlineLevel="0" collapsed="false">
      <c r="A44" s="7" t="n">
        <v>40</v>
      </c>
      <c r="B44" s="8" t="n">
        <v>46239</v>
      </c>
      <c r="C44" s="9" t="s">
        <v>20</v>
      </c>
      <c r="D44" s="9" t="n">
        <f aca="false">COUNTIF(Aulas!$D$2:$D$367,A44)</f>
        <v>17</v>
      </c>
      <c r="E44" s="9" t="n">
        <f aca="false">SUMIF(Aulas!$D$2:$D$367,A44,Aulas!$C$2:$C$367)</f>
        <v>215</v>
      </c>
      <c r="F44" s="10" t="n">
        <f aca="false">E44/60</f>
        <v>3.58333333333333</v>
      </c>
      <c r="G44" s="10" t="n">
        <f aca="false">G43+F44</f>
        <v>259.916666666667</v>
      </c>
      <c r="H44" s="10" t="n">
        <f aca="false">$B$2-G44</f>
        <v>0</v>
      </c>
      <c r="I44" s="11" t="n">
        <f aca="false">G44/$B$2</f>
        <v>1</v>
      </c>
      <c r="J44" s="9" t="s">
        <v>16</v>
      </c>
    </row>
  </sheetData>
  <mergeCells count="1">
    <mergeCell ref="A1:J1"/>
  </mergeCells>
  <dataValidations count="1">
    <dataValidation allowBlank="true" errorStyle="stop" operator="between" showDropDown="false" showErrorMessage="false" showInputMessage="false" sqref="J5:J44" type="list">
      <formula1>"Pendente,Concluido"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6" t="s">
        <v>23</v>
      </c>
      <c r="B1" s="6" t="s">
        <v>24</v>
      </c>
      <c r="C1" s="6" t="s">
        <v>25</v>
      </c>
      <c r="D1" s="6" t="s">
        <v>26</v>
      </c>
      <c r="E1" s="6" t="s">
        <v>6</v>
      </c>
      <c r="F1" s="6" t="s">
        <v>14</v>
      </c>
    </row>
    <row r="2" customFormat="false" ht="15" hidden="false" customHeight="false" outlineLevel="0" collapsed="false">
      <c r="A2" s="7" t="n">
        <v>1</v>
      </c>
      <c r="B2" s="7" t="s">
        <v>27</v>
      </c>
      <c r="C2" s="7" t="n">
        <v>9</v>
      </c>
      <c r="D2" s="7" t="n">
        <v>1</v>
      </c>
      <c r="E2" s="12" t="n">
        <f aca="false">VLOOKUP(D2,Cronograma!$A$5:$B$44,2,FALSE())</f>
        <v>46200</v>
      </c>
      <c r="F2" s="9" t="s">
        <v>16</v>
      </c>
    </row>
    <row r="3" customFormat="false" ht="15" hidden="false" customHeight="false" outlineLevel="0" collapsed="false">
      <c r="A3" s="7" t="n">
        <v>2</v>
      </c>
      <c r="B3" s="7" t="s">
        <v>27</v>
      </c>
      <c r="C3" s="7" t="n">
        <v>26</v>
      </c>
      <c r="D3" s="7" t="n">
        <v>1</v>
      </c>
      <c r="E3" s="12" t="n">
        <f aca="false">VLOOKUP(D3,Cronograma!$A$5:$B$44,2,FALSE())</f>
        <v>46200</v>
      </c>
      <c r="F3" s="9" t="s">
        <v>16</v>
      </c>
    </row>
    <row r="4" customFormat="false" ht="15" hidden="false" customHeight="false" outlineLevel="0" collapsed="false">
      <c r="A4" s="7" t="n">
        <v>3</v>
      </c>
      <c r="B4" s="7" t="s">
        <v>27</v>
      </c>
      <c r="C4" s="7" t="n">
        <v>15</v>
      </c>
      <c r="D4" s="7" t="n">
        <v>1</v>
      </c>
      <c r="E4" s="12" t="n">
        <f aca="false">VLOOKUP(D4,Cronograma!$A$5:$B$44,2,FALSE())</f>
        <v>46200</v>
      </c>
      <c r="F4" s="9" t="s">
        <v>16</v>
      </c>
    </row>
    <row r="5" customFormat="false" ht="15" hidden="false" customHeight="false" outlineLevel="0" collapsed="false">
      <c r="A5" s="7" t="n">
        <v>4</v>
      </c>
      <c r="B5" s="7" t="s">
        <v>27</v>
      </c>
      <c r="C5" s="7" t="n">
        <v>10</v>
      </c>
      <c r="D5" s="7" t="n">
        <v>1</v>
      </c>
      <c r="E5" s="12" t="n">
        <f aca="false">VLOOKUP(D5,Cronograma!$A$5:$B$44,2,FALSE())</f>
        <v>46200</v>
      </c>
      <c r="F5" s="9" t="s">
        <v>16</v>
      </c>
    </row>
    <row r="6" customFormat="false" ht="15" hidden="false" customHeight="false" outlineLevel="0" collapsed="false">
      <c r="A6" s="7" t="n">
        <v>5</v>
      </c>
      <c r="B6" s="7" t="s">
        <v>27</v>
      </c>
      <c r="C6" s="7" t="n">
        <v>15</v>
      </c>
      <c r="D6" s="7" t="n">
        <v>1</v>
      </c>
      <c r="E6" s="12" t="n">
        <f aca="false">VLOOKUP(D6,Cronograma!$A$5:$B$44,2,FALSE())</f>
        <v>46200</v>
      </c>
      <c r="F6" s="9" t="s">
        <v>16</v>
      </c>
    </row>
    <row r="7" customFormat="false" ht="15" hidden="false" customHeight="false" outlineLevel="0" collapsed="false">
      <c r="A7" s="7" t="n">
        <v>6</v>
      </c>
      <c r="B7" s="7" t="s">
        <v>27</v>
      </c>
      <c r="C7" s="7" t="n">
        <v>15</v>
      </c>
      <c r="D7" s="7" t="n">
        <v>1</v>
      </c>
      <c r="E7" s="12" t="n">
        <f aca="false">VLOOKUP(D7,Cronograma!$A$5:$B$44,2,FALSE())</f>
        <v>46200</v>
      </c>
      <c r="F7" s="9" t="s">
        <v>16</v>
      </c>
    </row>
    <row r="8" customFormat="false" ht="15" hidden="false" customHeight="false" outlineLevel="0" collapsed="false">
      <c r="A8" s="7" t="n">
        <v>7</v>
      </c>
      <c r="B8" s="7" t="s">
        <v>27</v>
      </c>
      <c r="C8" s="7" t="n">
        <v>12</v>
      </c>
      <c r="D8" s="7" t="n">
        <v>1</v>
      </c>
      <c r="E8" s="12" t="n">
        <f aca="false">VLOOKUP(D8,Cronograma!$A$5:$B$44,2,FALSE())</f>
        <v>46200</v>
      </c>
      <c r="F8" s="9" t="s">
        <v>16</v>
      </c>
    </row>
    <row r="9" customFormat="false" ht="15" hidden="false" customHeight="false" outlineLevel="0" collapsed="false">
      <c r="A9" s="7" t="n">
        <v>8</v>
      </c>
      <c r="B9" s="7" t="s">
        <v>27</v>
      </c>
      <c r="C9" s="7" t="n">
        <v>13</v>
      </c>
      <c r="D9" s="7" t="n">
        <v>1</v>
      </c>
      <c r="E9" s="12" t="n">
        <f aca="false">VLOOKUP(D9,Cronograma!$A$5:$B$44,2,FALSE())</f>
        <v>46200</v>
      </c>
      <c r="F9" s="9" t="s">
        <v>16</v>
      </c>
    </row>
    <row r="10" customFormat="false" ht="15" hidden="false" customHeight="false" outlineLevel="0" collapsed="false">
      <c r="A10" s="7" t="n">
        <v>9</v>
      </c>
      <c r="B10" s="7" t="s">
        <v>27</v>
      </c>
      <c r="C10" s="7" t="n">
        <v>15</v>
      </c>
      <c r="D10" s="7" t="n">
        <v>1</v>
      </c>
      <c r="E10" s="12" t="n">
        <f aca="false">VLOOKUP(D10,Cronograma!$A$5:$B$44,2,FALSE())</f>
        <v>46200</v>
      </c>
      <c r="F10" s="9" t="s">
        <v>16</v>
      </c>
    </row>
    <row r="11" customFormat="false" ht="15" hidden="false" customHeight="false" outlineLevel="0" collapsed="false">
      <c r="A11" s="7" t="n">
        <v>10</v>
      </c>
      <c r="B11" s="7" t="s">
        <v>27</v>
      </c>
      <c r="C11" s="7" t="n">
        <v>12</v>
      </c>
      <c r="D11" s="7" t="n">
        <v>1</v>
      </c>
      <c r="E11" s="12" t="n">
        <f aca="false">VLOOKUP(D11,Cronograma!$A$5:$B$44,2,FALSE())</f>
        <v>46200</v>
      </c>
      <c r="F11" s="9" t="s">
        <v>16</v>
      </c>
    </row>
    <row r="12" customFormat="false" ht="15" hidden="false" customHeight="false" outlineLevel="0" collapsed="false">
      <c r="A12" s="7" t="n">
        <v>11</v>
      </c>
      <c r="B12" s="7" t="s">
        <v>27</v>
      </c>
      <c r="C12" s="7" t="n">
        <v>12</v>
      </c>
      <c r="D12" s="7" t="n">
        <v>1</v>
      </c>
      <c r="E12" s="12" t="n">
        <f aca="false">VLOOKUP(D12,Cronograma!$A$5:$B$44,2,FALSE())</f>
        <v>46200</v>
      </c>
      <c r="F12" s="9" t="s">
        <v>16</v>
      </c>
    </row>
    <row r="13" customFormat="false" ht="15" hidden="false" customHeight="false" outlineLevel="0" collapsed="false">
      <c r="A13" s="7" t="n">
        <v>12</v>
      </c>
      <c r="B13" s="7" t="s">
        <v>27</v>
      </c>
      <c r="C13" s="7" t="n">
        <v>14</v>
      </c>
      <c r="D13" s="7" t="n">
        <v>1</v>
      </c>
      <c r="E13" s="12" t="n">
        <f aca="false">VLOOKUP(D13,Cronograma!$A$5:$B$44,2,FALSE())</f>
        <v>46200</v>
      </c>
      <c r="F13" s="9" t="s">
        <v>16</v>
      </c>
    </row>
    <row r="14" customFormat="false" ht="15" hidden="false" customHeight="false" outlineLevel="0" collapsed="false">
      <c r="A14" s="7" t="n">
        <v>13</v>
      </c>
      <c r="B14" s="7" t="s">
        <v>27</v>
      </c>
      <c r="C14" s="7" t="n">
        <v>18</v>
      </c>
      <c r="D14" s="7" t="n">
        <v>1</v>
      </c>
      <c r="E14" s="12" t="n">
        <f aca="false">VLOOKUP(D14,Cronograma!$A$5:$B$44,2,FALSE())</f>
        <v>46200</v>
      </c>
      <c r="F14" s="9" t="s">
        <v>16</v>
      </c>
    </row>
    <row r="15" customFormat="false" ht="15" hidden="false" customHeight="false" outlineLevel="0" collapsed="false">
      <c r="A15" s="7" t="n">
        <v>14</v>
      </c>
      <c r="B15" s="7" t="s">
        <v>27</v>
      </c>
      <c r="C15" s="7" t="n">
        <v>16</v>
      </c>
      <c r="D15" s="7" t="n">
        <v>1</v>
      </c>
      <c r="E15" s="12" t="n">
        <f aca="false">VLOOKUP(D15,Cronograma!$A$5:$B$44,2,FALSE())</f>
        <v>46200</v>
      </c>
      <c r="F15" s="9" t="s">
        <v>16</v>
      </c>
    </row>
    <row r="16" customFormat="false" ht="15" hidden="false" customHeight="false" outlineLevel="0" collapsed="false">
      <c r="A16" s="7" t="n">
        <v>15</v>
      </c>
      <c r="B16" s="7" t="s">
        <v>27</v>
      </c>
      <c r="C16" s="7" t="n">
        <v>11</v>
      </c>
      <c r="D16" s="7" t="n">
        <v>1</v>
      </c>
      <c r="E16" s="12" t="n">
        <f aca="false">VLOOKUP(D16,Cronograma!$A$5:$B$44,2,FALSE())</f>
        <v>46200</v>
      </c>
      <c r="F16" s="9" t="s">
        <v>16</v>
      </c>
    </row>
    <row r="17" customFormat="false" ht="15" hidden="false" customHeight="false" outlineLevel="0" collapsed="false">
      <c r="A17" s="7" t="n">
        <v>16</v>
      </c>
      <c r="B17" s="7" t="s">
        <v>27</v>
      </c>
      <c r="C17" s="7" t="n">
        <v>6</v>
      </c>
      <c r="D17" s="7" t="n">
        <v>1</v>
      </c>
      <c r="E17" s="12" t="n">
        <f aca="false">VLOOKUP(D17,Cronograma!$A$5:$B$44,2,FALSE())</f>
        <v>46200</v>
      </c>
      <c r="F17" s="9" t="s">
        <v>16</v>
      </c>
    </row>
    <row r="18" customFormat="false" ht="15" hidden="false" customHeight="false" outlineLevel="0" collapsed="false">
      <c r="A18" s="7" t="n">
        <v>17</v>
      </c>
      <c r="B18" s="7" t="s">
        <v>27</v>
      </c>
      <c r="C18" s="7" t="n">
        <v>1</v>
      </c>
      <c r="D18" s="7" t="n">
        <v>1</v>
      </c>
      <c r="E18" s="12" t="n">
        <f aca="false">VLOOKUP(D18,Cronograma!$A$5:$B$44,2,FALSE())</f>
        <v>46200</v>
      </c>
      <c r="F18" s="9" t="s">
        <v>16</v>
      </c>
    </row>
    <row r="19" customFormat="false" ht="15" hidden="false" customHeight="false" outlineLevel="0" collapsed="false">
      <c r="A19" s="7" t="n">
        <v>18</v>
      </c>
      <c r="B19" s="7" t="s">
        <v>27</v>
      </c>
      <c r="C19" s="7" t="n">
        <v>50</v>
      </c>
      <c r="D19" s="7" t="n">
        <v>1</v>
      </c>
      <c r="E19" s="12" t="n">
        <f aca="false">VLOOKUP(D19,Cronograma!$A$5:$B$44,2,FALSE())</f>
        <v>46200</v>
      </c>
      <c r="F19" s="9" t="s">
        <v>16</v>
      </c>
    </row>
    <row r="20" customFormat="false" ht="15" hidden="false" customHeight="false" outlineLevel="0" collapsed="false">
      <c r="A20" s="7" t="n">
        <v>19</v>
      </c>
      <c r="B20" s="7" t="s">
        <v>27</v>
      </c>
      <c r="C20" s="7" t="n">
        <v>53</v>
      </c>
      <c r="D20" s="7" t="n">
        <v>1</v>
      </c>
      <c r="E20" s="12" t="n">
        <f aca="false">VLOOKUP(D20,Cronograma!$A$5:$B$44,2,FALSE())</f>
        <v>46200</v>
      </c>
      <c r="F20" s="9" t="s">
        <v>16</v>
      </c>
    </row>
    <row r="21" customFormat="false" ht="15" hidden="false" customHeight="false" outlineLevel="0" collapsed="false">
      <c r="A21" s="7" t="n">
        <v>20</v>
      </c>
      <c r="B21" s="7" t="s">
        <v>27</v>
      </c>
      <c r="C21" s="7" t="n">
        <v>2</v>
      </c>
      <c r="D21" s="7" t="n">
        <v>1</v>
      </c>
      <c r="E21" s="12" t="n">
        <f aca="false">VLOOKUP(D21,Cronograma!$A$5:$B$44,2,FALSE())</f>
        <v>46200</v>
      </c>
      <c r="F21" s="9" t="s">
        <v>16</v>
      </c>
    </row>
    <row r="22" customFormat="false" ht="15" hidden="false" customHeight="false" outlineLevel="0" collapsed="false">
      <c r="A22" s="7" t="n">
        <v>21</v>
      </c>
      <c r="B22" s="7" t="s">
        <v>27</v>
      </c>
      <c r="C22" s="7" t="n">
        <v>10</v>
      </c>
      <c r="D22" s="7" t="n">
        <v>1</v>
      </c>
      <c r="E22" s="12" t="n">
        <f aca="false">VLOOKUP(D22,Cronograma!$A$5:$B$44,2,FALSE())</f>
        <v>46200</v>
      </c>
      <c r="F22" s="9" t="s">
        <v>16</v>
      </c>
    </row>
    <row r="23" customFormat="false" ht="15" hidden="false" customHeight="false" outlineLevel="0" collapsed="false">
      <c r="A23" s="7" t="n">
        <v>22</v>
      </c>
      <c r="B23" s="7" t="s">
        <v>27</v>
      </c>
      <c r="C23" s="7" t="n">
        <v>2</v>
      </c>
      <c r="D23" s="7" t="n">
        <v>1</v>
      </c>
      <c r="E23" s="12" t="n">
        <f aca="false">VLOOKUP(D23,Cronograma!$A$5:$B$44,2,FALSE())</f>
        <v>46200</v>
      </c>
      <c r="F23" s="9" t="s">
        <v>16</v>
      </c>
    </row>
    <row r="24" customFormat="false" ht="15" hidden="false" customHeight="false" outlineLevel="0" collapsed="false">
      <c r="A24" s="7" t="n">
        <v>23</v>
      </c>
      <c r="B24" s="7" t="s">
        <v>27</v>
      </c>
      <c r="C24" s="7" t="n">
        <v>4</v>
      </c>
      <c r="D24" s="7" t="n">
        <v>1</v>
      </c>
      <c r="E24" s="12" t="n">
        <f aca="false">VLOOKUP(D24,Cronograma!$A$5:$B$44,2,FALSE())</f>
        <v>46200</v>
      </c>
      <c r="F24" s="9" t="s">
        <v>16</v>
      </c>
    </row>
    <row r="25" customFormat="false" ht="15" hidden="false" customHeight="false" outlineLevel="0" collapsed="false">
      <c r="A25" s="7" t="n">
        <v>24</v>
      </c>
      <c r="B25" s="7" t="s">
        <v>27</v>
      </c>
      <c r="C25" s="7" t="n">
        <v>14</v>
      </c>
      <c r="D25" s="7" t="n">
        <v>1</v>
      </c>
      <c r="E25" s="12" t="n">
        <f aca="false">VLOOKUP(D25,Cronograma!$A$5:$B$44,2,FALSE())</f>
        <v>46200</v>
      </c>
      <c r="F25" s="9" t="s">
        <v>16</v>
      </c>
    </row>
    <row r="26" customFormat="false" ht="15" hidden="false" customHeight="false" outlineLevel="0" collapsed="false">
      <c r="A26" s="7" t="n">
        <v>25</v>
      </c>
      <c r="B26" s="7" t="s">
        <v>27</v>
      </c>
      <c r="C26" s="7" t="n">
        <v>5</v>
      </c>
      <c r="D26" s="7" t="n">
        <v>1</v>
      </c>
      <c r="E26" s="12" t="n">
        <f aca="false">VLOOKUP(D26,Cronograma!$A$5:$B$44,2,FALSE())</f>
        <v>46200</v>
      </c>
      <c r="F26" s="9" t="s">
        <v>16</v>
      </c>
    </row>
    <row r="27" customFormat="false" ht="15" hidden="false" customHeight="false" outlineLevel="0" collapsed="false">
      <c r="A27" s="7" t="n">
        <v>26</v>
      </c>
      <c r="B27" s="7" t="s">
        <v>27</v>
      </c>
      <c r="C27" s="7" t="n">
        <v>18</v>
      </c>
      <c r="D27" s="7" t="n">
        <v>2</v>
      </c>
      <c r="E27" s="12" t="n">
        <f aca="false">VLOOKUP(D27,Cronograma!$A$5:$B$44,2,FALSE())</f>
        <v>46201</v>
      </c>
      <c r="F27" s="9" t="s">
        <v>16</v>
      </c>
    </row>
    <row r="28" customFormat="false" ht="15" hidden="false" customHeight="false" outlineLevel="0" collapsed="false">
      <c r="A28" s="7" t="n">
        <v>27</v>
      </c>
      <c r="B28" s="7" t="s">
        <v>27</v>
      </c>
      <c r="C28" s="7" t="n">
        <v>10</v>
      </c>
      <c r="D28" s="7" t="n">
        <v>2</v>
      </c>
      <c r="E28" s="12" t="n">
        <f aca="false">VLOOKUP(D28,Cronograma!$A$5:$B$44,2,FALSE())</f>
        <v>46201</v>
      </c>
      <c r="F28" s="9" t="s">
        <v>16</v>
      </c>
    </row>
    <row r="29" customFormat="false" ht="15" hidden="false" customHeight="false" outlineLevel="0" collapsed="false">
      <c r="A29" s="7" t="n">
        <v>28</v>
      </c>
      <c r="B29" s="7" t="s">
        <v>27</v>
      </c>
      <c r="C29" s="7" t="n">
        <v>13</v>
      </c>
      <c r="D29" s="7" t="n">
        <v>2</v>
      </c>
      <c r="E29" s="12" t="n">
        <f aca="false">VLOOKUP(D29,Cronograma!$A$5:$B$44,2,FALSE())</f>
        <v>46201</v>
      </c>
      <c r="F29" s="9" t="s">
        <v>16</v>
      </c>
    </row>
    <row r="30" customFormat="false" ht="15" hidden="false" customHeight="false" outlineLevel="0" collapsed="false">
      <c r="A30" s="7" t="n">
        <v>29</v>
      </c>
      <c r="B30" s="7" t="s">
        <v>27</v>
      </c>
      <c r="C30" s="7" t="n">
        <v>8</v>
      </c>
      <c r="D30" s="7" t="n">
        <v>2</v>
      </c>
      <c r="E30" s="12" t="n">
        <f aca="false">VLOOKUP(D30,Cronograma!$A$5:$B$44,2,FALSE())</f>
        <v>46201</v>
      </c>
      <c r="F30" s="9" t="s">
        <v>16</v>
      </c>
    </row>
    <row r="31" customFormat="false" ht="15" hidden="false" customHeight="false" outlineLevel="0" collapsed="false">
      <c r="A31" s="7" t="n">
        <v>30</v>
      </c>
      <c r="B31" s="7" t="s">
        <v>27</v>
      </c>
      <c r="C31" s="7" t="n">
        <v>5</v>
      </c>
      <c r="D31" s="7" t="n">
        <v>2</v>
      </c>
      <c r="E31" s="12" t="n">
        <f aca="false">VLOOKUP(D31,Cronograma!$A$5:$B$44,2,FALSE())</f>
        <v>46201</v>
      </c>
      <c r="F31" s="9" t="s">
        <v>16</v>
      </c>
    </row>
    <row r="32" customFormat="false" ht="15" hidden="false" customHeight="false" outlineLevel="0" collapsed="false">
      <c r="A32" s="7" t="n">
        <v>31</v>
      </c>
      <c r="B32" s="7" t="s">
        <v>27</v>
      </c>
      <c r="C32" s="7" t="n">
        <v>2</v>
      </c>
      <c r="D32" s="7" t="n">
        <v>2</v>
      </c>
      <c r="E32" s="12" t="n">
        <f aca="false">VLOOKUP(D32,Cronograma!$A$5:$B$44,2,FALSE())</f>
        <v>46201</v>
      </c>
      <c r="F32" s="9" t="s">
        <v>16</v>
      </c>
    </row>
    <row r="33" customFormat="false" ht="15" hidden="false" customHeight="false" outlineLevel="0" collapsed="false">
      <c r="A33" s="7" t="n">
        <v>32</v>
      </c>
      <c r="B33" s="7" t="s">
        <v>27</v>
      </c>
      <c r="C33" s="7" t="n">
        <v>17</v>
      </c>
      <c r="D33" s="7" t="n">
        <v>2</v>
      </c>
      <c r="E33" s="12" t="n">
        <f aca="false">VLOOKUP(D33,Cronograma!$A$5:$B$44,2,FALSE())</f>
        <v>46201</v>
      </c>
      <c r="F33" s="9" t="s">
        <v>16</v>
      </c>
    </row>
    <row r="34" customFormat="false" ht="15" hidden="false" customHeight="false" outlineLevel="0" collapsed="false">
      <c r="A34" s="7" t="n">
        <v>33</v>
      </c>
      <c r="B34" s="7" t="s">
        <v>27</v>
      </c>
      <c r="C34" s="7" t="n">
        <v>9</v>
      </c>
      <c r="D34" s="7" t="n">
        <v>2</v>
      </c>
      <c r="E34" s="12" t="n">
        <f aca="false">VLOOKUP(D34,Cronograma!$A$5:$B$44,2,FALSE())</f>
        <v>46201</v>
      </c>
      <c r="F34" s="9" t="s">
        <v>16</v>
      </c>
    </row>
    <row r="35" customFormat="false" ht="15" hidden="false" customHeight="false" outlineLevel="0" collapsed="false">
      <c r="A35" s="7" t="n">
        <v>34</v>
      </c>
      <c r="B35" s="7" t="s">
        <v>27</v>
      </c>
      <c r="C35" s="7" t="n">
        <v>4</v>
      </c>
      <c r="D35" s="7" t="n">
        <v>2</v>
      </c>
      <c r="E35" s="12" t="n">
        <f aca="false">VLOOKUP(D35,Cronograma!$A$5:$B$44,2,FALSE())</f>
        <v>46201</v>
      </c>
      <c r="F35" s="9" t="s">
        <v>16</v>
      </c>
    </row>
    <row r="36" customFormat="false" ht="15" hidden="false" customHeight="false" outlineLevel="0" collapsed="false">
      <c r="A36" s="7" t="n">
        <v>35</v>
      </c>
      <c r="B36" s="7" t="s">
        <v>27</v>
      </c>
      <c r="C36" s="7" t="n">
        <v>11</v>
      </c>
      <c r="D36" s="7" t="n">
        <v>2</v>
      </c>
      <c r="E36" s="12" t="n">
        <f aca="false">VLOOKUP(D36,Cronograma!$A$5:$B$44,2,FALSE())</f>
        <v>46201</v>
      </c>
      <c r="F36" s="9" t="s">
        <v>16</v>
      </c>
    </row>
    <row r="37" customFormat="false" ht="15" hidden="false" customHeight="false" outlineLevel="0" collapsed="false">
      <c r="A37" s="7" t="n">
        <v>36</v>
      </c>
      <c r="B37" s="7" t="s">
        <v>27</v>
      </c>
      <c r="C37" s="7" t="n">
        <v>1</v>
      </c>
      <c r="D37" s="7" t="n">
        <v>2</v>
      </c>
      <c r="E37" s="12" t="n">
        <f aca="false">VLOOKUP(D37,Cronograma!$A$5:$B$44,2,FALSE())</f>
        <v>46201</v>
      </c>
      <c r="F37" s="9" t="s">
        <v>16</v>
      </c>
    </row>
    <row r="38" customFormat="false" ht="15" hidden="false" customHeight="false" outlineLevel="0" collapsed="false">
      <c r="A38" s="7" t="n">
        <v>37</v>
      </c>
      <c r="B38" s="7" t="s">
        <v>27</v>
      </c>
      <c r="C38" s="7" t="n">
        <v>3</v>
      </c>
      <c r="D38" s="7" t="n">
        <v>2</v>
      </c>
      <c r="E38" s="12" t="n">
        <f aca="false">VLOOKUP(D38,Cronograma!$A$5:$B$44,2,FALSE())</f>
        <v>46201</v>
      </c>
      <c r="F38" s="9" t="s">
        <v>16</v>
      </c>
    </row>
    <row r="39" customFormat="false" ht="15" hidden="false" customHeight="false" outlineLevel="0" collapsed="false">
      <c r="A39" s="7" t="n">
        <v>38</v>
      </c>
      <c r="B39" s="7" t="s">
        <v>27</v>
      </c>
      <c r="C39" s="7" t="n">
        <v>1</v>
      </c>
      <c r="D39" s="7" t="n">
        <v>2</v>
      </c>
      <c r="E39" s="12" t="n">
        <f aca="false">VLOOKUP(D39,Cronograma!$A$5:$B$44,2,FALSE())</f>
        <v>46201</v>
      </c>
      <c r="F39" s="9" t="s">
        <v>16</v>
      </c>
    </row>
    <row r="40" customFormat="false" ht="15" hidden="false" customHeight="false" outlineLevel="0" collapsed="false">
      <c r="A40" s="7" t="n">
        <v>39</v>
      </c>
      <c r="B40" s="7" t="s">
        <v>27</v>
      </c>
      <c r="C40" s="7" t="n">
        <v>1</v>
      </c>
      <c r="D40" s="7" t="n">
        <v>2</v>
      </c>
      <c r="E40" s="12" t="n">
        <f aca="false">VLOOKUP(D40,Cronograma!$A$5:$B$44,2,FALSE())</f>
        <v>46201</v>
      </c>
      <c r="F40" s="9" t="s">
        <v>16</v>
      </c>
    </row>
    <row r="41" customFormat="false" ht="15" hidden="false" customHeight="false" outlineLevel="0" collapsed="false">
      <c r="A41" s="7" t="n">
        <v>40</v>
      </c>
      <c r="B41" s="7" t="s">
        <v>27</v>
      </c>
      <c r="C41" s="7" t="n">
        <v>1</v>
      </c>
      <c r="D41" s="7" t="n">
        <v>2</v>
      </c>
      <c r="E41" s="12" t="n">
        <f aca="false">VLOOKUP(D41,Cronograma!$A$5:$B$44,2,FALSE())</f>
        <v>46201</v>
      </c>
      <c r="F41" s="9" t="s">
        <v>16</v>
      </c>
    </row>
    <row r="42" customFormat="false" ht="15" hidden="false" customHeight="false" outlineLevel="0" collapsed="false">
      <c r="A42" s="7" t="n">
        <v>41</v>
      </c>
      <c r="B42" s="7" t="s">
        <v>27</v>
      </c>
      <c r="C42" s="7" t="n">
        <v>1</v>
      </c>
      <c r="D42" s="7" t="n">
        <v>2</v>
      </c>
      <c r="E42" s="12" t="n">
        <f aca="false">VLOOKUP(D42,Cronograma!$A$5:$B$44,2,FALSE())</f>
        <v>46201</v>
      </c>
      <c r="F42" s="9" t="s">
        <v>16</v>
      </c>
    </row>
    <row r="43" customFormat="false" ht="15" hidden="false" customHeight="false" outlineLevel="0" collapsed="false">
      <c r="A43" s="7" t="n">
        <v>42</v>
      </c>
      <c r="B43" s="7" t="s">
        <v>27</v>
      </c>
      <c r="C43" s="7" t="n">
        <v>1</v>
      </c>
      <c r="D43" s="7" t="n">
        <v>2</v>
      </c>
      <c r="E43" s="12" t="n">
        <f aca="false">VLOOKUP(D43,Cronograma!$A$5:$B$44,2,FALSE())</f>
        <v>46201</v>
      </c>
      <c r="F43" s="9" t="s">
        <v>16</v>
      </c>
    </row>
    <row r="44" customFormat="false" ht="15" hidden="false" customHeight="false" outlineLevel="0" collapsed="false">
      <c r="A44" s="7" t="n">
        <v>43</v>
      </c>
      <c r="B44" s="7" t="s">
        <v>27</v>
      </c>
      <c r="C44" s="7" t="n">
        <v>6</v>
      </c>
      <c r="D44" s="7" t="n">
        <v>2</v>
      </c>
      <c r="E44" s="12" t="n">
        <f aca="false">VLOOKUP(D44,Cronograma!$A$5:$B$44,2,FALSE())</f>
        <v>46201</v>
      </c>
      <c r="F44" s="9" t="s">
        <v>16</v>
      </c>
    </row>
    <row r="45" customFormat="false" ht="15" hidden="false" customHeight="false" outlineLevel="0" collapsed="false">
      <c r="A45" s="7" t="n">
        <v>44</v>
      </c>
      <c r="B45" s="7" t="s">
        <v>27</v>
      </c>
      <c r="C45" s="7" t="n">
        <v>5</v>
      </c>
      <c r="D45" s="7" t="n">
        <v>2</v>
      </c>
      <c r="E45" s="12" t="n">
        <f aca="false">VLOOKUP(D45,Cronograma!$A$5:$B$44,2,FALSE())</f>
        <v>46201</v>
      </c>
      <c r="F45" s="9" t="s">
        <v>16</v>
      </c>
    </row>
    <row r="46" customFormat="false" ht="15" hidden="false" customHeight="false" outlineLevel="0" collapsed="false">
      <c r="A46" s="7" t="n">
        <v>45</v>
      </c>
      <c r="B46" s="7" t="s">
        <v>27</v>
      </c>
      <c r="C46" s="7" t="n">
        <v>10</v>
      </c>
      <c r="D46" s="7" t="n">
        <v>2</v>
      </c>
      <c r="E46" s="12" t="n">
        <f aca="false">VLOOKUP(D46,Cronograma!$A$5:$B$44,2,FALSE())</f>
        <v>46201</v>
      </c>
      <c r="F46" s="9" t="s">
        <v>16</v>
      </c>
    </row>
    <row r="47" customFormat="false" ht="15" hidden="false" customHeight="false" outlineLevel="0" collapsed="false">
      <c r="A47" s="7" t="n">
        <v>46</v>
      </c>
      <c r="B47" s="7" t="s">
        <v>27</v>
      </c>
      <c r="C47" s="7" t="n">
        <v>14</v>
      </c>
      <c r="D47" s="7" t="n">
        <v>2</v>
      </c>
      <c r="E47" s="12" t="n">
        <f aca="false">VLOOKUP(D47,Cronograma!$A$5:$B$44,2,FALSE())</f>
        <v>46201</v>
      </c>
      <c r="F47" s="9" t="s">
        <v>16</v>
      </c>
    </row>
    <row r="48" customFormat="false" ht="15" hidden="false" customHeight="false" outlineLevel="0" collapsed="false">
      <c r="A48" s="7" t="n">
        <v>47</v>
      </c>
      <c r="B48" s="7" t="s">
        <v>27</v>
      </c>
      <c r="C48" s="7" t="n">
        <v>10</v>
      </c>
      <c r="D48" s="7" t="n">
        <v>2</v>
      </c>
      <c r="E48" s="12" t="n">
        <f aca="false">VLOOKUP(D48,Cronograma!$A$5:$B$44,2,FALSE())</f>
        <v>46201</v>
      </c>
      <c r="F48" s="9" t="s">
        <v>16</v>
      </c>
    </row>
    <row r="49" customFormat="false" ht="15" hidden="false" customHeight="false" outlineLevel="0" collapsed="false">
      <c r="A49" s="7" t="n">
        <v>48</v>
      </c>
      <c r="B49" s="7" t="s">
        <v>27</v>
      </c>
      <c r="C49" s="7" t="n">
        <v>3</v>
      </c>
      <c r="D49" s="7" t="n">
        <v>2</v>
      </c>
      <c r="E49" s="12" t="n">
        <f aca="false">VLOOKUP(D49,Cronograma!$A$5:$B$44,2,FALSE())</f>
        <v>46201</v>
      </c>
      <c r="F49" s="9" t="s">
        <v>16</v>
      </c>
    </row>
    <row r="50" customFormat="false" ht="15" hidden="false" customHeight="false" outlineLevel="0" collapsed="false">
      <c r="A50" s="7" t="n">
        <v>49</v>
      </c>
      <c r="B50" s="7" t="s">
        <v>27</v>
      </c>
      <c r="C50" s="7" t="n">
        <v>3</v>
      </c>
      <c r="D50" s="7" t="n">
        <v>2</v>
      </c>
      <c r="E50" s="12" t="n">
        <f aca="false">VLOOKUP(D50,Cronograma!$A$5:$B$44,2,FALSE())</f>
        <v>46201</v>
      </c>
      <c r="F50" s="9" t="s">
        <v>16</v>
      </c>
    </row>
    <row r="51" customFormat="false" ht="15" hidden="false" customHeight="false" outlineLevel="0" collapsed="false">
      <c r="A51" s="7" t="n">
        <v>50</v>
      </c>
      <c r="B51" s="7" t="s">
        <v>27</v>
      </c>
      <c r="C51" s="7" t="n">
        <v>3</v>
      </c>
      <c r="D51" s="7" t="n">
        <v>2</v>
      </c>
      <c r="E51" s="12" t="n">
        <f aca="false">VLOOKUP(D51,Cronograma!$A$5:$B$44,2,FALSE())</f>
        <v>46201</v>
      </c>
      <c r="F51" s="9" t="s">
        <v>16</v>
      </c>
    </row>
    <row r="52" customFormat="false" ht="15" hidden="false" customHeight="false" outlineLevel="0" collapsed="false">
      <c r="A52" s="7" t="n">
        <v>51</v>
      </c>
      <c r="B52" s="7" t="s">
        <v>27</v>
      </c>
      <c r="C52" s="7" t="n">
        <v>7</v>
      </c>
      <c r="D52" s="7" t="n">
        <v>2</v>
      </c>
      <c r="E52" s="12" t="n">
        <f aca="false">VLOOKUP(D52,Cronograma!$A$5:$B$44,2,FALSE())</f>
        <v>46201</v>
      </c>
      <c r="F52" s="9" t="s">
        <v>16</v>
      </c>
    </row>
    <row r="53" customFormat="false" ht="15" hidden="false" customHeight="false" outlineLevel="0" collapsed="false">
      <c r="A53" s="7" t="n">
        <v>52</v>
      </c>
      <c r="B53" s="7" t="s">
        <v>27</v>
      </c>
      <c r="C53" s="7" t="n">
        <v>16</v>
      </c>
      <c r="D53" s="7" t="n">
        <v>2</v>
      </c>
      <c r="E53" s="12" t="n">
        <f aca="false">VLOOKUP(D53,Cronograma!$A$5:$B$44,2,FALSE())</f>
        <v>46201</v>
      </c>
      <c r="F53" s="9" t="s">
        <v>16</v>
      </c>
    </row>
    <row r="54" customFormat="false" ht="15" hidden="false" customHeight="false" outlineLevel="0" collapsed="false">
      <c r="A54" s="7" t="n">
        <v>53</v>
      </c>
      <c r="B54" s="7" t="s">
        <v>27</v>
      </c>
      <c r="C54" s="7" t="n">
        <v>1</v>
      </c>
      <c r="D54" s="7" t="n">
        <v>2</v>
      </c>
      <c r="E54" s="12" t="n">
        <f aca="false">VLOOKUP(D54,Cronograma!$A$5:$B$44,2,FALSE())</f>
        <v>46201</v>
      </c>
      <c r="F54" s="9" t="s">
        <v>16</v>
      </c>
    </row>
    <row r="55" customFormat="false" ht="15" hidden="false" customHeight="false" outlineLevel="0" collapsed="false">
      <c r="A55" s="7" t="n">
        <v>54</v>
      </c>
      <c r="B55" s="7" t="s">
        <v>27</v>
      </c>
      <c r="C55" s="7" t="n">
        <v>52</v>
      </c>
      <c r="D55" s="7" t="n">
        <v>2</v>
      </c>
      <c r="E55" s="12" t="n">
        <f aca="false">VLOOKUP(D55,Cronograma!$A$5:$B$44,2,FALSE())</f>
        <v>46201</v>
      </c>
      <c r="F55" s="9" t="s">
        <v>16</v>
      </c>
    </row>
    <row r="56" customFormat="false" ht="15" hidden="false" customHeight="false" outlineLevel="0" collapsed="false">
      <c r="A56" s="7" t="n">
        <v>55</v>
      </c>
      <c r="B56" s="7" t="s">
        <v>27</v>
      </c>
      <c r="C56" s="7" t="n">
        <v>53</v>
      </c>
      <c r="D56" s="7" t="n">
        <v>2</v>
      </c>
      <c r="E56" s="12" t="n">
        <f aca="false">VLOOKUP(D56,Cronograma!$A$5:$B$44,2,FALSE())</f>
        <v>46201</v>
      </c>
      <c r="F56" s="9" t="s">
        <v>16</v>
      </c>
    </row>
    <row r="57" customFormat="false" ht="15" hidden="false" customHeight="false" outlineLevel="0" collapsed="false">
      <c r="A57" s="7" t="n">
        <v>56</v>
      </c>
      <c r="B57" s="7" t="s">
        <v>27</v>
      </c>
      <c r="C57" s="7" t="n">
        <v>50</v>
      </c>
      <c r="D57" s="7" t="n">
        <v>2</v>
      </c>
      <c r="E57" s="12" t="n">
        <f aca="false">VLOOKUP(D57,Cronograma!$A$5:$B$44,2,FALSE())</f>
        <v>46201</v>
      </c>
      <c r="F57" s="9" t="s">
        <v>16</v>
      </c>
    </row>
    <row r="58" customFormat="false" ht="15" hidden="false" customHeight="false" outlineLevel="0" collapsed="false">
      <c r="A58" s="7" t="n">
        <v>57</v>
      </c>
      <c r="B58" s="7" t="s">
        <v>27</v>
      </c>
      <c r="C58" s="7" t="n">
        <v>38</v>
      </c>
      <c r="D58" s="7" t="n">
        <v>2</v>
      </c>
      <c r="E58" s="12" t="n">
        <f aca="false">VLOOKUP(D58,Cronograma!$A$5:$B$44,2,FALSE())</f>
        <v>46201</v>
      </c>
      <c r="F58" s="9" t="s">
        <v>16</v>
      </c>
    </row>
    <row r="59" customFormat="false" ht="15" hidden="false" customHeight="false" outlineLevel="0" collapsed="false">
      <c r="A59" s="7" t="n">
        <v>58</v>
      </c>
      <c r="B59" s="7" t="s">
        <v>27</v>
      </c>
      <c r="C59" s="7" t="n">
        <v>33</v>
      </c>
      <c r="D59" s="7" t="n">
        <v>3</v>
      </c>
      <c r="E59" s="12" t="n">
        <f aca="false">VLOOKUP(D59,Cronograma!$A$5:$B$44,2,FALSE())</f>
        <v>46202</v>
      </c>
      <c r="F59" s="9" t="s">
        <v>16</v>
      </c>
    </row>
    <row r="60" customFormat="false" ht="15" hidden="false" customHeight="false" outlineLevel="0" collapsed="false">
      <c r="A60" s="7" t="n">
        <v>59</v>
      </c>
      <c r="B60" s="7" t="s">
        <v>27</v>
      </c>
      <c r="C60" s="7" t="n">
        <v>32</v>
      </c>
      <c r="D60" s="7" t="n">
        <v>3</v>
      </c>
      <c r="E60" s="12" t="n">
        <f aca="false">VLOOKUP(D60,Cronograma!$A$5:$B$44,2,FALSE())</f>
        <v>46202</v>
      </c>
      <c r="F60" s="9" t="s">
        <v>16</v>
      </c>
    </row>
    <row r="61" customFormat="false" ht="15" hidden="false" customHeight="false" outlineLevel="0" collapsed="false">
      <c r="A61" s="7" t="n">
        <v>60</v>
      </c>
      <c r="B61" s="7" t="s">
        <v>27</v>
      </c>
      <c r="C61" s="7" t="n">
        <v>48</v>
      </c>
      <c r="D61" s="7" t="n">
        <v>3</v>
      </c>
      <c r="E61" s="12" t="n">
        <f aca="false">VLOOKUP(D61,Cronograma!$A$5:$B$44,2,FALSE())</f>
        <v>46202</v>
      </c>
      <c r="F61" s="9" t="s">
        <v>16</v>
      </c>
    </row>
    <row r="62" customFormat="false" ht="15" hidden="false" customHeight="false" outlineLevel="0" collapsed="false">
      <c r="A62" s="7" t="n">
        <v>61</v>
      </c>
      <c r="B62" s="7" t="s">
        <v>27</v>
      </c>
      <c r="C62" s="7" t="n">
        <v>41</v>
      </c>
      <c r="D62" s="7" t="n">
        <v>3</v>
      </c>
      <c r="E62" s="12" t="n">
        <f aca="false">VLOOKUP(D62,Cronograma!$A$5:$B$44,2,FALSE())</f>
        <v>46202</v>
      </c>
      <c r="F62" s="9" t="s">
        <v>16</v>
      </c>
    </row>
    <row r="63" customFormat="false" ht="15" hidden="false" customHeight="false" outlineLevel="0" collapsed="false">
      <c r="A63" s="7" t="n">
        <v>62</v>
      </c>
      <c r="B63" s="7" t="s">
        <v>27</v>
      </c>
      <c r="C63" s="7" t="n">
        <v>35</v>
      </c>
      <c r="D63" s="7" t="n">
        <v>3</v>
      </c>
      <c r="E63" s="12" t="n">
        <f aca="false">VLOOKUP(D63,Cronograma!$A$5:$B$44,2,FALSE())</f>
        <v>46202</v>
      </c>
      <c r="F63" s="9" t="s">
        <v>16</v>
      </c>
    </row>
    <row r="64" customFormat="false" ht="15" hidden="false" customHeight="false" outlineLevel="0" collapsed="false">
      <c r="A64" s="7" t="n">
        <v>63</v>
      </c>
      <c r="B64" s="7" t="s">
        <v>27</v>
      </c>
      <c r="C64" s="7" t="n">
        <v>15</v>
      </c>
      <c r="D64" s="7" t="n">
        <v>3</v>
      </c>
      <c r="E64" s="12" t="n">
        <f aca="false">VLOOKUP(D64,Cronograma!$A$5:$B$44,2,FALSE())</f>
        <v>46202</v>
      </c>
      <c r="F64" s="9" t="s">
        <v>16</v>
      </c>
    </row>
    <row r="65" customFormat="false" ht="15" hidden="false" customHeight="false" outlineLevel="0" collapsed="false">
      <c r="A65" s="7" t="n">
        <v>64</v>
      </c>
      <c r="B65" s="7" t="s">
        <v>27</v>
      </c>
      <c r="C65" s="7" t="n">
        <v>31</v>
      </c>
      <c r="D65" s="7" t="n">
        <v>3</v>
      </c>
      <c r="E65" s="12" t="n">
        <f aca="false">VLOOKUP(D65,Cronograma!$A$5:$B$44,2,FALSE())</f>
        <v>46202</v>
      </c>
      <c r="F65" s="9" t="s">
        <v>16</v>
      </c>
    </row>
    <row r="66" customFormat="false" ht="15" hidden="false" customHeight="false" outlineLevel="0" collapsed="false">
      <c r="A66" s="7" t="n">
        <v>65</v>
      </c>
      <c r="B66" s="7" t="s">
        <v>27</v>
      </c>
      <c r="C66" s="7" t="n">
        <v>32</v>
      </c>
      <c r="D66" s="7" t="n">
        <v>3</v>
      </c>
      <c r="E66" s="12" t="n">
        <f aca="false">VLOOKUP(D66,Cronograma!$A$5:$B$44,2,FALSE())</f>
        <v>46202</v>
      </c>
      <c r="F66" s="9" t="s">
        <v>16</v>
      </c>
    </row>
    <row r="67" customFormat="false" ht="15" hidden="false" customHeight="false" outlineLevel="0" collapsed="false">
      <c r="A67" s="7" t="n">
        <v>66</v>
      </c>
      <c r="B67" s="7" t="s">
        <v>27</v>
      </c>
      <c r="C67" s="7" t="n">
        <v>7</v>
      </c>
      <c r="D67" s="7" t="n">
        <v>3</v>
      </c>
      <c r="E67" s="12" t="n">
        <f aca="false">VLOOKUP(D67,Cronograma!$A$5:$B$44,2,FALSE())</f>
        <v>46202</v>
      </c>
      <c r="F67" s="9" t="s">
        <v>16</v>
      </c>
    </row>
    <row r="68" customFormat="false" ht="15" hidden="false" customHeight="false" outlineLevel="0" collapsed="false">
      <c r="A68" s="7" t="n">
        <v>67</v>
      </c>
      <c r="B68" s="7" t="s">
        <v>27</v>
      </c>
      <c r="C68" s="7" t="n">
        <v>15</v>
      </c>
      <c r="D68" s="7" t="n">
        <v>3</v>
      </c>
      <c r="E68" s="12" t="n">
        <f aca="false">VLOOKUP(D68,Cronograma!$A$5:$B$44,2,FALSE())</f>
        <v>46202</v>
      </c>
      <c r="F68" s="9" t="s">
        <v>16</v>
      </c>
    </row>
    <row r="69" customFormat="false" ht="15" hidden="false" customHeight="false" outlineLevel="0" collapsed="false">
      <c r="A69" s="7" t="n">
        <v>68</v>
      </c>
      <c r="B69" s="7" t="s">
        <v>27</v>
      </c>
      <c r="C69" s="7" t="n">
        <v>13</v>
      </c>
      <c r="D69" s="7" t="n">
        <v>3</v>
      </c>
      <c r="E69" s="12" t="n">
        <f aca="false">VLOOKUP(D69,Cronograma!$A$5:$B$44,2,FALSE())</f>
        <v>46202</v>
      </c>
      <c r="F69" s="9" t="s">
        <v>16</v>
      </c>
    </row>
    <row r="70" customFormat="false" ht="15" hidden="false" customHeight="false" outlineLevel="0" collapsed="false">
      <c r="A70" s="7" t="n">
        <v>69</v>
      </c>
      <c r="B70" s="7" t="s">
        <v>27</v>
      </c>
      <c r="C70" s="7" t="n">
        <v>12</v>
      </c>
      <c r="D70" s="7" t="n">
        <v>3</v>
      </c>
      <c r="E70" s="12" t="n">
        <f aca="false">VLOOKUP(D70,Cronograma!$A$5:$B$44,2,FALSE())</f>
        <v>46202</v>
      </c>
      <c r="F70" s="9" t="s">
        <v>16</v>
      </c>
    </row>
    <row r="71" customFormat="false" ht="15" hidden="false" customHeight="false" outlineLevel="0" collapsed="false">
      <c r="A71" s="7" t="n">
        <v>70</v>
      </c>
      <c r="B71" s="7" t="s">
        <v>27</v>
      </c>
      <c r="C71" s="7" t="n">
        <v>17</v>
      </c>
      <c r="D71" s="7" t="n">
        <v>3</v>
      </c>
      <c r="E71" s="12" t="n">
        <f aca="false">VLOOKUP(D71,Cronograma!$A$5:$B$44,2,FALSE())</f>
        <v>46202</v>
      </c>
      <c r="F71" s="9" t="s">
        <v>16</v>
      </c>
    </row>
    <row r="72" customFormat="false" ht="15" hidden="false" customHeight="false" outlineLevel="0" collapsed="false">
      <c r="A72" s="7" t="n">
        <v>71</v>
      </c>
      <c r="B72" s="7" t="s">
        <v>27</v>
      </c>
      <c r="C72" s="7" t="n">
        <v>19</v>
      </c>
      <c r="D72" s="7" t="n">
        <v>3</v>
      </c>
      <c r="E72" s="12" t="n">
        <f aca="false">VLOOKUP(D72,Cronograma!$A$5:$B$44,2,FALSE())</f>
        <v>46202</v>
      </c>
      <c r="F72" s="9" t="s">
        <v>16</v>
      </c>
    </row>
    <row r="73" customFormat="false" ht="15" hidden="false" customHeight="false" outlineLevel="0" collapsed="false">
      <c r="A73" s="7" t="n">
        <v>72</v>
      </c>
      <c r="B73" s="7" t="s">
        <v>27</v>
      </c>
      <c r="C73" s="7" t="n">
        <v>11</v>
      </c>
      <c r="D73" s="7" t="n">
        <v>3</v>
      </c>
      <c r="E73" s="12" t="n">
        <f aca="false">VLOOKUP(D73,Cronograma!$A$5:$B$44,2,FALSE())</f>
        <v>46202</v>
      </c>
      <c r="F73" s="9" t="s">
        <v>16</v>
      </c>
    </row>
    <row r="74" customFormat="false" ht="15" hidden="false" customHeight="false" outlineLevel="0" collapsed="false">
      <c r="A74" s="7" t="n">
        <v>73</v>
      </c>
      <c r="B74" s="7" t="s">
        <v>27</v>
      </c>
      <c r="C74" s="7" t="n">
        <v>2</v>
      </c>
      <c r="D74" s="7" t="n">
        <v>4</v>
      </c>
      <c r="E74" s="12" t="n">
        <f aca="false">VLOOKUP(D74,Cronograma!$A$5:$B$44,2,FALSE())</f>
        <v>46203</v>
      </c>
      <c r="F74" s="9" t="s">
        <v>16</v>
      </c>
    </row>
    <row r="75" customFormat="false" ht="15" hidden="false" customHeight="false" outlineLevel="0" collapsed="false">
      <c r="A75" s="7" t="n">
        <v>74</v>
      </c>
      <c r="B75" s="7" t="s">
        <v>27</v>
      </c>
      <c r="C75" s="7" t="n">
        <v>6</v>
      </c>
      <c r="D75" s="7" t="n">
        <v>4</v>
      </c>
      <c r="E75" s="12" t="n">
        <f aca="false">VLOOKUP(D75,Cronograma!$A$5:$B$44,2,FALSE())</f>
        <v>46203</v>
      </c>
      <c r="F75" s="9" t="s">
        <v>16</v>
      </c>
    </row>
    <row r="76" customFormat="false" ht="15" hidden="false" customHeight="false" outlineLevel="0" collapsed="false">
      <c r="A76" s="7" t="n">
        <v>75</v>
      </c>
      <c r="B76" s="7" t="s">
        <v>27</v>
      </c>
      <c r="C76" s="7" t="n">
        <v>14</v>
      </c>
      <c r="D76" s="7" t="n">
        <v>4</v>
      </c>
      <c r="E76" s="12" t="n">
        <f aca="false">VLOOKUP(D76,Cronograma!$A$5:$B$44,2,FALSE())</f>
        <v>46203</v>
      </c>
      <c r="F76" s="9" t="s">
        <v>16</v>
      </c>
    </row>
    <row r="77" customFormat="false" ht="15" hidden="false" customHeight="false" outlineLevel="0" collapsed="false">
      <c r="A77" s="7" t="n">
        <v>76</v>
      </c>
      <c r="B77" s="7" t="s">
        <v>27</v>
      </c>
      <c r="C77" s="7" t="n">
        <v>5</v>
      </c>
      <c r="D77" s="7" t="n">
        <v>4</v>
      </c>
      <c r="E77" s="12" t="n">
        <f aca="false">VLOOKUP(D77,Cronograma!$A$5:$B$44,2,FALSE())</f>
        <v>46203</v>
      </c>
      <c r="F77" s="9" t="s">
        <v>16</v>
      </c>
    </row>
    <row r="78" customFormat="false" ht="15" hidden="false" customHeight="false" outlineLevel="0" collapsed="false">
      <c r="A78" s="7" t="n">
        <v>77</v>
      </c>
      <c r="B78" s="7" t="s">
        <v>27</v>
      </c>
      <c r="C78" s="7" t="n">
        <v>2</v>
      </c>
      <c r="D78" s="7" t="n">
        <v>4</v>
      </c>
      <c r="E78" s="12" t="n">
        <f aca="false">VLOOKUP(D78,Cronograma!$A$5:$B$44,2,FALSE())</f>
        <v>46203</v>
      </c>
      <c r="F78" s="9" t="s">
        <v>16</v>
      </c>
    </row>
    <row r="79" customFormat="false" ht="15" hidden="false" customHeight="false" outlineLevel="0" collapsed="false">
      <c r="A79" s="7" t="n">
        <v>78</v>
      </c>
      <c r="B79" s="7" t="s">
        <v>27</v>
      </c>
      <c r="C79" s="7" t="n">
        <v>12</v>
      </c>
      <c r="D79" s="7" t="n">
        <v>4</v>
      </c>
      <c r="E79" s="12" t="n">
        <f aca="false">VLOOKUP(D79,Cronograma!$A$5:$B$44,2,FALSE())</f>
        <v>46203</v>
      </c>
      <c r="F79" s="9" t="s">
        <v>16</v>
      </c>
    </row>
    <row r="80" customFormat="false" ht="15" hidden="false" customHeight="false" outlineLevel="0" collapsed="false">
      <c r="A80" s="7" t="n">
        <v>79</v>
      </c>
      <c r="B80" s="7" t="s">
        <v>27</v>
      </c>
      <c r="C80" s="7" t="n">
        <v>21</v>
      </c>
      <c r="D80" s="7" t="n">
        <v>4</v>
      </c>
      <c r="E80" s="12" t="n">
        <f aca="false">VLOOKUP(D80,Cronograma!$A$5:$B$44,2,FALSE())</f>
        <v>46203</v>
      </c>
      <c r="F80" s="9" t="s">
        <v>16</v>
      </c>
    </row>
    <row r="81" customFormat="false" ht="15" hidden="false" customHeight="false" outlineLevel="0" collapsed="false">
      <c r="A81" s="7" t="n">
        <v>80</v>
      </c>
      <c r="B81" s="7" t="s">
        <v>27</v>
      </c>
      <c r="C81" s="7" t="n">
        <v>95</v>
      </c>
      <c r="D81" s="7" t="n">
        <v>4</v>
      </c>
      <c r="E81" s="12" t="n">
        <f aca="false">VLOOKUP(D81,Cronograma!$A$5:$B$44,2,FALSE())</f>
        <v>46203</v>
      </c>
      <c r="F81" s="9" t="s">
        <v>16</v>
      </c>
    </row>
    <row r="82" customFormat="false" ht="15" hidden="false" customHeight="false" outlineLevel="0" collapsed="false">
      <c r="A82" s="7" t="n">
        <v>81</v>
      </c>
      <c r="B82" s="7" t="s">
        <v>27</v>
      </c>
      <c r="C82" s="7" t="n">
        <v>26</v>
      </c>
      <c r="D82" s="7" t="n">
        <v>4</v>
      </c>
      <c r="E82" s="12" t="n">
        <f aca="false">VLOOKUP(D82,Cronograma!$A$5:$B$44,2,FALSE())</f>
        <v>46203</v>
      </c>
      <c r="F82" s="9" t="s">
        <v>16</v>
      </c>
    </row>
    <row r="83" customFormat="false" ht="15" hidden="false" customHeight="false" outlineLevel="0" collapsed="false">
      <c r="A83" s="7" t="n">
        <v>82</v>
      </c>
      <c r="B83" s="7" t="s">
        <v>27</v>
      </c>
      <c r="C83" s="7" t="n">
        <v>157</v>
      </c>
      <c r="D83" s="7" t="n">
        <v>4</v>
      </c>
      <c r="E83" s="12" t="n">
        <f aca="false">VLOOKUP(D83,Cronograma!$A$5:$B$44,2,FALSE())</f>
        <v>46203</v>
      </c>
      <c r="F83" s="9" t="s">
        <v>16</v>
      </c>
    </row>
    <row r="84" customFormat="false" ht="15" hidden="false" customHeight="false" outlineLevel="0" collapsed="false">
      <c r="A84" s="7" t="n">
        <v>83</v>
      </c>
      <c r="B84" s="7" t="s">
        <v>27</v>
      </c>
      <c r="C84" s="7" t="n">
        <v>61</v>
      </c>
      <c r="D84" s="7" t="n">
        <v>4</v>
      </c>
      <c r="E84" s="12" t="n">
        <f aca="false">VLOOKUP(D84,Cronograma!$A$5:$B$44,2,FALSE())</f>
        <v>46203</v>
      </c>
      <c r="F84" s="9" t="s">
        <v>16</v>
      </c>
    </row>
    <row r="85" customFormat="false" ht="15" hidden="false" customHeight="false" outlineLevel="0" collapsed="false">
      <c r="A85" s="7" t="n">
        <v>84</v>
      </c>
      <c r="B85" s="7" t="s">
        <v>27</v>
      </c>
      <c r="C85" s="7" t="n">
        <v>103</v>
      </c>
      <c r="D85" s="7" t="n">
        <v>5</v>
      </c>
      <c r="E85" s="12" t="n">
        <f aca="false">VLOOKUP(D85,Cronograma!$A$5:$B$44,2,FALSE())</f>
        <v>46204</v>
      </c>
      <c r="F85" s="9" t="s">
        <v>16</v>
      </c>
    </row>
    <row r="86" customFormat="false" ht="15" hidden="false" customHeight="false" outlineLevel="0" collapsed="false">
      <c r="A86" s="7" t="n">
        <v>85</v>
      </c>
      <c r="B86" s="7" t="s">
        <v>27</v>
      </c>
      <c r="C86" s="7" t="n">
        <v>44</v>
      </c>
      <c r="D86" s="7" t="n">
        <v>5</v>
      </c>
      <c r="E86" s="12" t="n">
        <f aca="false">VLOOKUP(D86,Cronograma!$A$5:$B$44,2,FALSE())</f>
        <v>46204</v>
      </c>
      <c r="F86" s="9" t="s">
        <v>16</v>
      </c>
    </row>
    <row r="87" customFormat="false" ht="15" hidden="false" customHeight="false" outlineLevel="0" collapsed="false">
      <c r="A87" s="7" t="n">
        <v>86</v>
      </c>
      <c r="B87" s="7" t="s">
        <v>27</v>
      </c>
      <c r="C87" s="7" t="n">
        <v>70</v>
      </c>
      <c r="D87" s="7" t="n">
        <v>5</v>
      </c>
      <c r="E87" s="12" t="n">
        <f aca="false">VLOOKUP(D87,Cronograma!$A$5:$B$44,2,FALSE())</f>
        <v>46204</v>
      </c>
      <c r="F87" s="9" t="s">
        <v>16</v>
      </c>
    </row>
    <row r="88" customFormat="false" ht="15" hidden="false" customHeight="false" outlineLevel="0" collapsed="false">
      <c r="A88" s="7" t="n">
        <v>87</v>
      </c>
      <c r="B88" s="7" t="s">
        <v>27</v>
      </c>
      <c r="C88" s="7" t="n">
        <v>49</v>
      </c>
      <c r="D88" s="7" t="n">
        <v>5</v>
      </c>
      <c r="E88" s="12" t="n">
        <f aca="false">VLOOKUP(D88,Cronograma!$A$5:$B$44,2,FALSE())</f>
        <v>46204</v>
      </c>
      <c r="F88" s="9" t="s">
        <v>16</v>
      </c>
    </row>
    <row r="89" customFormat="false" ht="15" hidden="false" customHeight="false" outlineLevel="0" collapsed="false">
      <c r="A89" s="7" t="n">
        <v>88</v>
      </c>
      <c r="B89" s="7" t="s">
        <v>27</v>
      </c>
      <c r="C89" s="7" t="n">
        <v>50</v>
      </c>
      <c r="D89" s="7" t="n">
        <v>5</v>
      </c>
      <c r="E89" s="12" t="n">
        <f aca="false">VLOOKUP(D89,Cronograma!$A$5:$B$44,2,FALSE())</f>
        <v>46204</v>
      </c>
      <c r="F89" s="9" t="s">
        <v>16</v>
      </c>
    </row>
    <row r="90" customFormat="false" ht="15" hidden="false" customHeight="false" outlineLevel="0" collapsed="false">
      <c r="A90" s="7" t="n">
        <v>89</v>
      </c>
      <c r="B90" s="7" t="s">
        <v>27</v>
      </c>
      <c r="C90" s="7" t="n">
        <v>67</v>
      </c>
      <c r="D90" s="7" t="n">
        <v>5</v>
      </c>
      <c r="E90" s="12" t="n">
        <f aca="false">VLOOKUP(D90,Cronograma!$A$5:$B$44,2,FALSE())</f>
        <v>46204</v>
      </c>
      <c r="F90" s="9" t="s">
        <v>16</v>
      </c>
    </row>
    <row r="91" customFormat="false" ht="15" hidden="false" customHeight="false" outlineLevel="0" collapsed="false">
      <c r="A91" s="7" t="n">
        <v>90</v>
      </c>
      <c r="B91" s="7" t="s">
        <v>27</v>
      </c>
      <c r="C91" s="7" t="n">
        <v>42</v>
      </c>
      <c r="D91" s="7" t="n">
        <v>6</v>
      </c>
      <c r="E91" s="12" t="n">
        <f aca="false">VLOOKUP(D91,Cronograma!$A$5:$B$44,2,FALSE())</f>
        <v>46205</v>
      </c>
      <c r="F91" s="9" t="s">
        <v>16</v>
      </c>
    </row>
    <row r="92" customFormat="false" ht="15" hidden="false" customHeight="false" outlineLevel="0" collapsed="false">
      <c r="A92" s="7" t="n">
        <v>91</v>
      </c>
      <c r="B92" s="7" t="s">
        <v>27</v>
      </c>
      <c r="C92" s="7" t="n">
        <v>69</v>
      </c>
      <c r="D92" s="7" t="n">
        <v>6</v>
      </c>
      <c r="E92" s="12" t="n">
        <f aca="false">VLOOKUP(D92,Cronograma!$A$5:$B$44,2,FALSE())</f>
        <v>46205</v>
      </c>
      <c r="F92" s="9" t="s">
        <v>16</v>
      </c>
    </row>
    <row r="93" customFormat="false" ht="15" hidden="false" customHeight="false" outlineLevel="0" collapsed="false">
      <c r="A93" s="7" t="n">
        <v>92</v>
      </c>
      <c r="B93" s="7" t="s">
        <v>27</v>
      </c>
      <c r="C93" s="7" t="n">
        <v>29</v>
      </c>
      <c r="D93" s="7" t="n">
        <v>6</v>
      </c>
      <c r="E93" s="12" t="n">
        <f aca="false">VLOOKUP(D93,Cronograma!$A$5:$B$44,2,FALSE())</f>
        <v>46205</v>
      </c>
      <c r="F93" s="9" t="s">
        <v>16</v>
      </c>
    </row>
    <row r="94" customFormat="false" ht="15" hidden="false" customHeight="false" outlineLevel="0" collapsed="false">
      <c r="A94" s="7" t="n">
        <v>93</v>
      </c>
      <c r="B94" s="7" t="s">
        <v>27</v>
      </c>
      <c r="C94" s="7" t="n">
        <v>52</v>
      </c>
      <c r="D94" s="7" t="n">
        <v>6</v>
      </c>
      <c r="E94" s="12" t="n">
        <f aca="false">VLOOKUP(D94,Cronograma!$A$5:$B$44,2,FALSE())</f>
        <v>46205</v>
      </c>
      <c r="F94" s="9" t="s">
        <v>16</v>
      </c>
    </row>
    <row r="95" customFormat="false" ht="15" hidden="false" customHeight="false" outlineLevel="0" collapsed="false">
      <c r="A95" s="7" t="n">
        <v>94</v>
      </c>
      <c r="B95" s="7" t="s">
        <v>27</v>
      </c>
      <c r="C95" s="7" t="n">
        <v>80</v>
      </c>
      <c r="D95" s="7" t="n">
        <v>6</v>
      </c>
      <c r="E95" s="12" t="n">
        <f aca="false">VLOOKUP(D95,Cronograma!$A$5:$B$44,2,FALSE())</f>
        <v>46205</v>
      </c>
      <c r="F95" s="9" t="s">
        <v>16</v>
      </c>
    </row>
    <row r="96" customFormat="false" ht="15" hidden="false" customHeight="false" outlineLevel="0" collapsed="false">
      <c r="A96" s="7" t="n">
        <v>95</v>
      </c>
      <c r="B96" s="7" t="s">
        <v>27</v>
      </c>
      <c r="C96" s="7" t="n">
        <v>72</v>
      </c>
      <c r="D96" s="7" t="n">
        <v>6</v>
      </c>
      <c r="E96" s="12" t="n">
        <f aca="false">VLOOKUP(D96,Cronograma!$A$5:$B$44,2,FALSE())</f>
        <v>46205</v>
      </c>
      <c r="F96" s="9" t="s">
        <v>16</v>
      </c>
    </row>
    <row r="97" customFormat="false" ht="15" hidden="false" customHeight="false" outlineLevel="0" collapsed="false">
      <c r="A97" s="7" t="n">
        <v>96</v>
      </c>
      <c r="B97" s="7" t="s">
        <v>27</v>
      </c>
      <c r="C97" s="7" t="n">
        <v>83</v>
      </c>
      <c r="D97" s="7" t="n">
        <v>6</v>
      </c>
      <c r="E97" s="12" t="n">
        <f aca="false">VLOOKUP(D97,Cronograma!$A$5:$B$44,2,FALSE())</f>
        <v>46205</v>
      </c>
      <c r="F97" s="9" t="s">
        <v>16</v>
      </c>
    </row>
    <row r="98" customFormat="false" ht="15" hidden="false" customHeight="false" outlineLevel="0" collapsed="false">
      <c r="A98" s="7" t="n">
        <v>97</v>
      </c>
      <c r="B98" s="7" t="s">
        <v>28</v>
      </c>
      <c r="C98" s="7" t="n">
        <v>55</v>
      </c>
      <c r="D98" s="7" t="n">
        <v>7</v>
      </c>
      <c r="E98" s="12" t="n">
        <f aca="false">VLOOKUP(D98,Cronograma!$A$5:$B$44,2,FALSE())</f>
        <v>46206</v>
      </c>
      <c r="F98" s="9" t="s">
        <v>16</v>
      </c>
    </row>
    <row r="99" customFormat="false" ht="15" hidden="false" customHeight="false" outlineLevel="0" collapsed="false">
      <c r="A99" s="7" t="n">
        <v>98</v>
      </c>
      <c r="B99" s="7" t="s">
        <v>28</v>
      </c>
      <c r="C99" s="7" t="n">
        <v>31</v>
      </c>
      <c r="D99" s="7" t="n">
        <v>7</v>
      </c>
      <c r="E99" s="12" t="n">
        <f aca="false">VLOOKUP(D99,Cronograma!$A$5:$B$44,2,FALSE())</f>
        <v>46206</v>
      </c>
      <c r="F99" s="9" t="s">
        <v>16</v>
      </c>
    </row>
    <row r="100" customFormat="false" ht="15" hidden="false" customHeight="false" outlineLevel="0" collapsed="false">
      <c r="A100" s="7" t="n">
        <v>99</v>
      </c>
      <c r="B100" s="7" t="s">
        <v>28</v>
      </c>
      <c r="C100" s="7" t="n">
        <v>26</v>
      </c>
      <c r="D100" s="7" t="n">
        <v>7</v>
      </c>
      <c r="E100" s="12" t="n">
        <f aca="false">VLOOKUP(D100,Cronograma!$A$5:$B$44,2,FALSE())</f>
        <v>46206</v>
      </c>
      <c r="F100" s="9" t="s">
        <v>16</v>
      </c>
    </row>
    <row r="101" customFormat="false" ht="15" hidden="false" customHeight="false" outlineLevel="0" collapsed="false">
      <c r="A101" s="7" t="n">
        <v>100</v>
      </c>
      <c r="B101" s="7" t="s">
        <v>28</v>
      </c>
      <c r="C101" s="7" t="n">
        <v>35</v>
      </c>
      <c r="D101" s="7" t="n">
        <v>7</v>
      </c>
      <c r="E101" s="12" t="n">
        <f aca="false">VLOOKUP(D101,Cronograma!$A$5:$B$44,2,FALSE())</f>
        <v>46206</v>
      </c>
      <c r="F101" s="9" t="s">
        <v>16</v>
      </c>
    </row>
    <row r="102" customFormat="false" ht="15" hidden="false" customHeight="false" outlineLevel="0" collapsed="false">
      <c r="A102" s="7" t="n">
        <v>101</v>
      </c>
      <c r="B102" s="7" t="s">
        <v>28</v>
      </c>
      <c r="C102" s="7" t="n">
        <v>28</v>
      </c>
      <c r="D102" s="7" t="n">
        <v>7</v>
      </c>
      <c r="E102" s="12" t="n">
        <f aca="false">VLOOKUP(D102,Cronograma!$A$5:$B$44,2,FALSE())</f>
        <v>46206</v>
      </c>
      <c r="F102" s="9" t="s">
        <v>16</v>
      </c>
    </row>
    <row r="103" customFormat="false" ht="15" hidden="false" customHeight="false" outlineLevel="0" collapsed="false">
      <c r="A103" s="7" t="n">
        <v>102</v>
      </c>
      <c r="B103" s="7" t="s">
        <v>28</v>
      </c>
      <c r="C103" s="7" t="n">
        <v>33</v>
      </c>
      <c r="D103" s="7" t="n">
        <v>7</v>
      </c>
      <c r="E103" s="12" t="n">
        <f aca="false">VLOOKUP(D103,Cronograma!$A$5:$B$44,2,FALSE())</f>
        <v>46206</v>
      </c>
      <c r="F103" s="9" t="s">
        <v>16</v>
      </c>
    </row>
    <row r="104" customFormat="false" ht="15" hidden="false" customHeight="false" outlineLevel="0" collapsed="false">
      <c r="A104" s="7" t="n">
        <v>103</v>
      </c>
      <c r="B104" s="7" t="s">
        <v>28</v>
      </c>
      <c r="C104" s="7" t="n">
        <v>34</v>
      </c>
      <c r="D104" s="7" t="n">
        <v>7</v>
      </c>
      <c r="E104" s="12" t="n">
        <f aca="false">VLOOKUP(D104,Cronograma!$A$5:$B$44,2,FALSE())</f>
        <v>46206</v>
      </c>
      <c r="F104" s="9" t="s">
        <v>16</v>
      </c>
    </row>
    <row r="105" customFormat="false" ht="15" hidden="false" customHeight="false" outlineLevel="0" collapsed="false">
      <c r="A105" s="7" t="n">
        <v>104</v>
      </c>
      <c r="B105" s="7" t="s">
        <v>28</v>
      </c>
      <c r="C105" s="7" t="n">
        <v>5</v>
      </c>
      <c r="D105" s="7" t="n">
        <v>7</v>
      </c>
      <c r="E105" s="12" t="n">
        <f aca="false">VLOOKUP(D105,Cronograma!$A$5:$B$44,2,FALSE())</f>
        <v>46206</v>
      </c>
      <c r="F105" s="9" t="s">
        <v>16</v>
      </c>
    </row>
    <row r="106" customFormat="false" ht="15" hidden="false" customHeight="false" outlineLevel="0" collapsed="false">
      <c r="A106" s="7" t="n">
        <v>105</v>
      </c>
      <c r="B106" s="7" t="s">
        <v>28</v>
      </c>
      <c r="C106" s="7" t="n">
        <v>14</v>
      </c>
      <c r="D106" s="7" t="n">
        <v>7</v>
      </c>
      <c r="E106" s="12" t="n">
        <f aca="false">VLOOKUP(D106,Cronograma!$A$5:$B$44,2,FALSE())</f>
        <v>46206</v>
      </c>
      <c r="F106" s="9" t="s">
        <v>16</v>
      </c>
    </row>
    <row r="107" customFormat="false" ht="15" hidden="false" customHeight="false" outlineLevel="0" collapsed="false">
      <c r="A107" s="7" t="n">
        <v>106</v>
      </c>
      <c r="B107" s="7" t="s">
        <v>28</v>
      </c>
      <c r="C107" s="7" t="n">
        <v>61</v>
      </c>
      <c r="D107" s="7" t="n">
        <v>7</v>
      </c>
      <c r="E107" s="12" t="n">
        <f aca="false">VLOOKUP(D107,Cronograma!$A$5:$B$44,2,FALSE())</f>
        <v>46206</v>
      </c>
      <c r="F107" s="9" t="s">
        <v>16</v>
      </c>
    </row>
    <row r="108" customFormat="false" ht="15" hidden="false" customHeight="false" outlineLevel="0" collapsed="false">
      <c r="A108" s="7" t="n">
        <v>107</v>
      </c>
      <c r="B108" s="7" t="s">
        <v>28</v>
      </c>
      <c r="C108" s="7" t="n">
        <v>11</v>
      </c>
      <c r="D108" s="7" t="n">
        <v>7</v>
      </c>
      <c r="E108" s="12" t="n">
        <f aca="false">VLOOKUP(D108,Cronograma!$A$5:$B$44,2,FALSE())</f>
        <v>46206</v>
      </c>
      <c r="F108" s="9" t="s">
        <v>16</v>
      </c>
    </row>
    <row r="109" customFormat="false" ht="15" hidden="false" customHeight="false" outlineLevel="0" collapsed="false">
      <c r="A109" s="7" t="n">
        <v>108</v>
      </c>
      <c r="B109" s="7" t="s">
        <v>28</v>
      </c>
      <c r="C109" s="7" t="n">
        <v>71</v>
      </c>
      <c r="D109" s="7" t="n">
        <v>7</v>
      </c>
      <c r="E109" s="12" t="n">
        <f aca="false">VLOOKUP(D109,Cronograma!$A$5:$B$44,2,FALSE())</f>
        <v>46206</v>
      </c>
      <c r="F109" s="9" t="s">
        <v>16</v>
      </c>
    </row>
    <row r="110" customFormat="false" ht="15" hidden="false" customHeight="false" outlineLevel="0" collapsed="false">
      <c r="A110" s="7" t="n">
        <v>109</v>
      </c>
      <c r="B110" s="7" t="s">
        <v>28</v>
      </c>
      <c r="C110" s="7" t="n">
        <v>10</v>
      </c>
      <c r="D110" s="7" t="n">
        <v>8</v>
      </c>
      <c r="E110" s="12" t="n">
        <f aca="false">VLOOKUP(D110,Cronograma!$A$5:$B$44,2,FALSE())</f>
        <v>46207</v>
      </c>
      <c r="F110" s="9" t="s">
        <v>16</v>
      </c>
    </row>
    <row r="111" customFormat="false" ht="15" hidden="false" customHeight="false" outlineLevel="0" collapsed="false">
      <c r="A111" s="7" t="n">
        <v>110</v>
      </c>
      <c r="B111" s="7" t="s">
        <v>28</v>
      </c>
      <c r="C111" s="7" t="n">
        <v>28</v>
      </c>
      <c r="D111" s="7" t="n">
        <v>8</v>
      </c>
      <c r="E111" s="12" t="n">
        <f aca="false">VLOOKUP(D111,Cronograma!$A$5:$B$44,2,FALSE())</f>
        <v>46207</v>
      </c>
      <c r="F111" s="9" t="s">
        <v>16</v>
      </c>
    </row>
    <row r="112" customFormat="false" ht="15" hidden="false" customHeight="false" outlineLevel="0" collapsed="false">
      <c r="A112" s="7" t="n">
        <v>111</v>
      </c>
      <c r="B112" s="7" t="s">
        <v>28</v>
      </c>
      <c r="C112" s="7" t="n">
        <v>58</v>
      </c>
      <c r="D112" s="7" t="n">
        <v>8</v>
      </c>
      <c r="E112" s="12" t="n">
        <f aca="false">VLOOKUP(D112,Cronograma!$A$5:$B$44,2,FALSE())</f>
        <v>46207</v>
      </c>
      <c r="F112" s="9" t="s">
        <v>16</v>
      </c>
    </row>
    <row r="113" customFormat="false" ht="15" hidden="false" customHeight="false" outlineLevel="0" collapsed="false">
      <c r="A113" s="7" t="n">
        <v>112</v>
      </c>
      <c r="B113" s="7" t="s">
        <v>28</v>
      </c>
      <c r="C113" s="7" t="n">
        <v>45</v>
      </c>
      <c r="D113" s="7" t="n">
        <v>8</v>
      </c>
      <c r="E113" s="12" t="n">
        <f aca="false">VLOOKUP(D113,Cronograma!$A$5:$B$44,2,FALSE())</f>
        <v>46207</v>
      </c>
      <c r="F113" s="9" t="s">
        <v>16</v>
      </c>
    </row>
    <row r="114" customFormat="false" ht="15" hidden="false" customHeight="false" outlineLevel="0" collapsed="false">
      <c r="A114" s="7" t="n">
        <v>113</v>
      </c>
      <c r="B114" s="7" t="s">
        <v>28</v>
      </c>
      <c r="C114" s="7" t="n">
        <v>8</v>
      </c>
      <c r="D114" s="7" t="n">
        <v>8</v>
      </c>
      <c r="E114" s="12" t="n">
        <f aca="false">VLOOKUP(D114,Cronograma!$A$5:$B$44,2,FALSE())</f>
        <v>46207</v>
      </c>
      <c r="F114" s="9" t="s">
        <v>16</v>
      </c>
    </row>
    <row r="115" customFormat="false" ht="15" hidden="false" customHeight="false" outlineLevel="0" collapsed="false">
      <c r="A115" s="7" t="n">
        <v>114</v>
      </c>
      <c r="B115" s="7" t="s">
        <v>28</v>
      </c>
      <c r="C115" s="7" t="n">
        <v>19</v>
      </c>
      <c r="D115" s="7" t="n">
        <v>8</v>
      </c>
      <c r="E115" s="12" t="n">
        <f aca="false">VLOOKUP(D115,Cronograma!$A$5:$B$44,2,FALSE())</f>
        <v>46207</v>
      </c>
      <c r="F115" s="9" t="s">
        <v>16</v>
      </c>
    </row>
    <row r="116" customFormat="false" ht="15" hidden="false" customHeight="false" outlineLevel="0" collapsed="false">
      <c r="A116" s="7" t="n">
        <v>115</v>
      </c>
      <c r="B116" s="7" t="s">
        <v>28</v>
      </c>
      <c r="C116" s="7" t="n">
        <v>17</v>
      </c>
      <c r="D116" s="7" t="n">
        <v>8</v>
      </c>
      <c r="E116" s="12" t="n">
        <f aca="false">VLOOKUP(D116,Cronograma!$A$5:$B$44,2,FALSE())</f>
        <v>46207</v>
      </c>
      <c r="F116" s="9" t="s">
        <v>16</v>
      </c>
    </row>
    <row r="117" customFormat="false" ht="15" hidden="false" customHeight="false" outlineLevel="0" collapsed="false">
      <c r="A117" s="7" t="n">
        <v>116</v>
      </c>
      <c r="B117" s="7" t="s">
        <v>28</v>
      </c>
      <c r="C117" s="7" t="n">
        <v>16</v>
      </c>
      <c r="D117" s="7" t="n">
        <v>8</v>
      </c>
      <c r="E117" s="12" t="n">
        <f aca="false">VLOOKUP(D117,Cronograma!$A$5:$B$44,2,FALSE())</f>
        <v>46207</v>
      </c>
      <c r="F117" s="9" t="s">
        <v>16</v>
      </c>
    </row>
    <row r="118" customFormat="false" ht="15" hidden="false" customHeight="false" outlineLevel="0" collapsed="false">
      <c r="A118" s="7" t="n">
        <v>117</v>
      </c>
      <c r="B118" s="7" t="s">
        <v>28</v>
      </c>
      <c r="C118" s="7" t="n">
        <v>29</v>
      </c>
      <c r="D118" s="7" t="n">
        <v>8</v>
      </c>
      <c r="E118" s="12" t="n">
        <f aca="false">VLOOKUP(D118,Cronograma!$A$5:$B$44,2,FALSE())</f>
        <v>46207</v>
      </c>
      <c r="F118" s="9" t="s">
        <v>16</v>
      </c>
    </row>
    <row r="119" customFormat="false" ht="15" hidden="false" customHeight="false" outlineLevel="0" collapsed="false">
      <c r="A119" s="7" t="n">
        <v>118</v>
      </c>
      <c r="B119" s="7" t="s">
        <v>28</v>
      </c>
      <c r="C119" s="7" t="n">
        <v>13</v>
      </c>
      <c r="D119" s="7" t="n">
        <v>8</v>
      </c>
      <c r="E119" s="12" t="n">
        <f aca="false">VLOOKUP(D119,Cronograma!$A$5:$B$44,2,FALSE())</f>
        <v>46207</v>
      </c>
      <c r="F119" s="9" t="s">
        <v>16</v>
      </c>
    </row>
    <row r="120" customFormat="false" ht="15" hidden="false" customHeight="false" outlineLevel="0" collapsed="false">
      <c r="A120" s="7" t="n">
        <v>119</v>
      </c>
      <c r="B120" s="7" t="s">
        <v>28</v>
      </c>
      <c r="C120" s="7" t="n">
        <v>83</v>
      </c>
      <c r="D120" s="7" t="n">
        <v>8</v>
      </c>
      <c r="E120" s="12" t="n">
        <f aca="false">VLOOKUP(D120,Cronograma!$A$5:$B$44,2,FALSE())</f>
        <v>46207</v>
      </c>
      <c r="F120" s="9" t="s">
        <v>16</v>
      </c>
    </row>
    <row r="121" customFormat="false" ht="15" hidden="false" customHeight="false" outlineLevel="0" collapsed="false">
      <c r="A121" s="7" t="n">
        <v>120</v>
      </c>
      <c r="B121" s="7" t="s">
        <v>28</v>
      </c>
      <c r="C121" s="7" t="n">
        <v>22</v>
      </c>
      <c r="D121" s="7" t="n">
        <v>8</v>
      </c>
      <c r="E121" s="12" t="n">
        <f aca="false">VLOOKUP(D121,Cronograma!$A$5:$B$44,2,FALSE())</f>
        <v>46207</v>
      </c>
      <c r="F121" s="9" t="s">
        <v>16</v>
      </c>
    </row>
    <row r="122" customFormat="false" ht="15" hidden="false" customHeight="false" outlineLevel="0" collapsed="false">
      <c r="A122" s="7" t="n">
        <v>121</v>
      </c>
      <c r="B122" s="7" t="s">
        <v>28</v>
      </c>
      <c r="C122" s="7" t="n">
        <v>25</v>
      </c>
      <c r="D122" s="7" t="n">
        <v>8</v>
      </c>
      <c r="E122" s="12" t="n">
        <f aca="false">VLOOKUP(D122,Cronograma!$A$5:$B$44,2,FALSE())</f>
        <v>46207</v>
      </c>
      <c r="F122" s="9" t="s">
        <v>16</v>
      </c>
    </row>
    <row r="123" customFormat="false" ht="15" hidden="false" customHeight="false" outlineLevel="0" collapsed="false">
      <c r="A123" s="7" t="n">
        <v>122</v>
      </c>
      <c r="B123" s="7" t="s">
        <v>28</v>
      </c>
      <c r="C123" s="7" t="n">
        <v>29</v>
      </c>
      <c r="D123" s="7" t="n">
        <v>9</v>
      </c>
      <c r="E123" s="12" t="n">
        <f aca="false">VLOOKUP(D123,Cronograma!$A$5:$B$44,2,FALSE())</f>
        <v>46208</v>
      </c>
      <c r="F123" s="9" t="s">
        <v>16</v>
      </c>
    </row>
    <row r="124" customFormat="false" ht="15" hidden="false" customHeight="false" outlineLevel="0" collapsed="false">
      <c r="A124" s="7" t="n">
        <v>123</v>
      </c>
      <c r="B124" s="7" t="s">
        <v>28</v>
      </c>
      <c r="C124" s="7" t="n">
        <v>82</v>
      </c>
      <c r="D124" s="7" t="n">
        <v>9</v>
      </c>
      <c r="E124" s="12" t="n">
        <f aca="false">VLOOKUP(D124,Cronograma!$A$5:$B$44,2,FALSE())</f>
        <v>46208</v>
      </c>
      <c r="F124" s="9" t="s">
        <v>16</v>
      </c>
    </row>
    <row r="125" customFormat="false" ht="15" hidden="false" customHeight="false" outlineLevel="0" collapsed="false">
      <c r="A125" s="7" t="n">
        <v>124</v>
      </c>
      <c r="B125" s="7" t="s">
        <v>28</v>
      </c>
      <c r="C125" s="7" t="n">
        <v>8</v>
      </c>
      <c r="D125" s="7" t="n">
        <v>9</v>
      </c>
      <c r="E125" s="12" t="n">
        <f aca="false">VLOOKUP(D125,Cronograma!$A$5:$B$44,2,FALSE())</f>
        <v>46208</v>
      </c>
      <c r="F125" s="9" t="s">
        <v>16</v>
      </c>
    </row>
    <row r="126" customFormat="false" ht="15" hidden="false" customHeight="false" outlineLevel="0" collapsed="false">
      <c r="A126" s="7" t="n">
        <v>125</v>
      </c>
      <c r="B126" s="7" t="s">
        <v>28</v>
      </c>
      <c r="C126" s="7" t="n">
        <v>32</v>
      </c>
      <c r="D126" s="7" t="n">
        <v>9</v>
      </c>
      <c r="E126" s="12" t="n">
        <f aca="false">VLOOKUP(D126,Cronograma!$A$5:$B$44,2,FALSE())</f>
        <v>46208</v>
      </c>
      <c r="F126" s="9" t="s">
        <v>16</v>
      </c>
    </row>
    <row r="127" customFormat="false" ht="15" hidden="false" customHeight="false" outlineLevel="0" collapsed="false">
      <c r="A127" s="7" t="n">
        <v>126</v>
      </c>
      <c r="B127" s="7" t="s">
        <v>28</v>
      </c>
      <c r="C127" s="7" t="n">
        <v>90</v>
      </c>
      <c r="D127" s="7" t="n">
        <v>9</v>
      </c>
      <c r="E127" s="12" t="n">
        <f aca="false">VLOOKUP(D127,Cronograma!$A$5:$B$44,2,FALSE())</f>
        <v>46208</v>
      </c>
      <c r="F127" s="9" t="s">
        <v>16</v>
      </c>
    </row>
    <row r="128" customFormat="false" ht="15" hidden="false" customHeight="false" outlineLevel="0" collapsed="false">
      <c r="A128" s="7" t="n">
        <v>127</v>
      </c>
      <c r="B128" s="7" t="s">
        <v>28</v>
      </c>
      <c r="C128" s="7" t="n">
        <v>20</v>
      </c>
      <c r="D128" s="7" t="n">
        <v>9</v>
      </c>
      <c r="E128" s="12" t="n">
        <f aca="false">VLOOKUP(D128,Cronograma!$A$5:$B$44,2,FALSE())</f>
        <v>46208</v>
      </c>
      <c r="F128" s="9" t="s">
        <v>16</v>
      </c>
    </row>
    <row r="129" customFormat="false" ht="15" hidden="false" customHeight="false" outlineLevel="0" collapsed="false">
      <c r="A129" s="7" t="n">
        <v>128</v>
      </c>
      <c r="B129" s="7" t="s">
        <v>28</v>
      </c>
      <c r="C129" s="7" t="n">
        <v>26</v>
      </c>
      <c r="D129" s="7" t="n">
        <v>9</v>
      </c>
      <c r="E129" s="12" t="n">
        <f aca="false">VLOOKUP(D129,Cronograma!$A$5:$B$44,2,FALSE())</f>
        <v>46208</v>
      </c>
      <c r="F129" s="9" t="s">
        <v>16</v>
      </c>
    </row>
    <row r="130" customFormat="false" ht="15" hidden="false" customHeight="false" outlineLevel="0" collapsed="false">
      <c r="A130" s="7" t="n">
        <v>129</v>
      </c>
      <c r="B130" s="7" t="s">
        <v>28</v>
      </c>
      <c r="C130" s="7" t="n">
        <v>33</v>
      </c>
      <c r="D130" s="7" t="n">
        <v>9</v>
      </c>
      <c r="E130" s="12" t="n">
        <f aca="false">VLOOKUP(D130,Cronograma!$A$5:$B$44,2,FALSE())</f>
        <v>46208</v>
      </c>
      <c r="F130" s="9" t="s">
        <v>16</v>
      </c>
    </row>
    <row r="131" customFormat="false" ht="15" hidden="false" customHeight="false" outlineLevel="0" collapsed="false">
      <c r="A131" s="7" t="n">
        <v>130</v>
      </c>
      <c r="B131" s="7" t="s">
        <v>28</v>
      </c>
      <c r="C131" s="7" t="n">
        <v>31</v>
      </c>
      <c r="D131" s="7" t="n">
        <v>9</v>
      </c>
      <c r="E131" s="12" t="n">
        <f aca="false">VLOOKUP(D131,Cronograma!$A$5:$B$44,2,FALSE())</f>
        <v>46208</v>
      </c>
      <c r="F131" s="9" t="s">
        <v>16</v>
      </c>
    </row>
    <row r="132" customFormat="false" ht="15" hidden="false" customHeight="false" outlineLevel="0" collapsed="false">
      <c r="A132" s="7" t="n">
        <v>131</v>
      </c>
      <c r="B132" s="7" t="s">
        <v>28</v>
      </c>
      <c r="C132" s="7" t="n">
        <v>32</v>
      </c>
      <c r="D132" s="7" t="n">
        <v>9</v>
      </c>
      <c r="E132" s="12" t="n">
        <f aca="false">VLOOKUP(D132,Cronograma!$A$5:$B$44,2,FALSE())</f>
        <v>46208</v>
      </c>
      <c r="F132" s="9" t="s">
        <v>16</v>
      </c>
    </row>
    <row r="133" customFormat="false" ht="15" hidden="false" customHeight="false" outlineLevel="0" collapsed="false">
      <c r="A133" s="7" t="n">
        <v>132</v>
      </c>
      <c r="B133" s="7" t="s">
        <v>28</v>
      </c>
      <c r="C133" s="7" t="n">
        <v>28</v>
      </c>
      <c r="D133" s="7" t="n">
        <v>10</v>
      </c>
      <c r="E133" s="12" t="n">
        <f aca="false">VLOOKUP(D133,Cronograma!$A$5:$B$44,2,FALSE())</f>
        <v>46209</v>
      </c>
      <c r="F133" s="9" t="s">
        <v>16</v>
      </c>
    </row>
    <row r="134" customFormat="false" ht="15" hidden="false" customHeight="false" outlineLevel="0" collapsed="false">
      <c r="A134" s="7" t="n">
        <v>133</v>
      </c>
      <c r="B134" s="7" t="s">
        <v>28</v>
      </c>
      <c r="C134" s="7" t="n">
        <v>1</v>
      </c>
      <c r="D134" s="7" t="n">
        <v>10</v>
      </c>
      <c r="E134" s="12" t="n">
        <f aca="false">VLOOKUP(D134,Cronograma!$A$5:$B$44,2,FALSE())</f>
        <v>46209</v>
      </c>
      <c r="F134" s="9" t="s">
        <v>16</v>
      </c>
    </row>
    <row r="135" customFormat="false" ht="15" hidden="false" customHeight="false" outlineLevel="0" collapsed="false">
      <c r="A135" s="7" t="n">
        <v>134</v>
      </c>
      <c r="B135" s="7" t="s">
        <v>28</v>
      </c>
      <c r="C135" s="7" t="n">
        <v>70</v>
      </c>
      <c r="D135" s="7" t="n">
        <v>10</v>
      </c>
      <c r="E135" s="12" t="n">
        <f aca="false">VLOOKUP(D135,Cronograma!$A$5:$B$44,2,FALSE())</f>
        <v>46209</v>
      </c>
      <c r="F135" s="9" t="s">
        <v>16</v>
      </c>
    </row>
    <row r="136" customFormat="false" ht="15" hidden="false" customHeight="false" outlineLevel="0" collapsed="false">
      <c r="A136" s="7" t="n">
        <v>135</v>
      </c>
      <c r="B136" s="7" t="s">
        <v>28</v>
      </c>
      <c r="C136" s="7" t="n">
        <v>78</v>
      </c>
      <c r="D136" s="7" t="n">
        <v>10</v>
      </c>
      <c r="E136" s="12" t="n">
        <f aca="false">VLOOKUP(D136,Cronograma!$A$5:$B$44,2,FALSE())</f>
        <v>46209</v>
      </c>
      <c r="F136" s="9" t="s">
        <v>16</v>
      </c>
    </row>
    <row r="137" customFormat="false" ht="15" hidden="false" customHeight="false" outlineLevel="0" collapsed="false">
      <c r="A137" s="7" t="n">
        <v>136</v>
      </c>
      <c r="B137" s="7" t="s">
        <v>28</v>
      </c>
      <c r="C137" s="7" t="n">
        <v>65</v>
      </c>
      <c r="D137" s="7" t="n">
        <v>10</v>
      </c>
      <c r="E137" s="12" t="n">
        <f aca="false">VLOOKUP(D137,Cronograma!$A$5:$B$44,2,FALSE())</f>
        <v>46209</v>
      </c>
      <c r="F137" s="9" t="s">
        <v>16</v>
      </c>
    </row>
    <row r="138" customFormat="false" ht="15" hidden="false" customHeight="false" outlineLevel="0" collapsed="false">
      <c r="A138" s="7" t="n">
        <v>137</v>
      </c>
      <c r="B138" s="7" t="s">
        <v>28</v>
      </c>
      <c r="C138" s="7" t="n">
        <v>48</v>
      </c>
      <c r="D138" s="7" t="n">
        <v>10</v>
      </c>
      <c r="E138" s="12" t="n">
        <f aca="false">VLOOKUP(D138,Cronograma!$A$5:$B$44,2,FALSE())</f>
        <v>46209</v>
      </c>
      <c r="F138" s="9" t="s">
        <v>16</v>
      </c>
    </row>
    <row r="139" customFormat="false" ht="15" hidden="false" customHeight="false" outlineLevel="0" collapsed="false">
      <c r="A139" s="7" t="n">
        <v>138</v>
      </c>
      <c r="B139" s="7" t="s">
        <v>28</v>
      </c>
      <c r="C139" s="7" t="n">
        <v>50</v>
      </c>
      <c r="D139" s="7" t="n">
        <v>10</v>
      </c>
      <c r="E139" s="12" t="n">
        <f aca="false">VLOOKUP(D139,Cronograma!$A$5:$B$44,2,FALSE())</f>
        <v>46209</v>
      </c>
      <c r="F139" s="9" t="s">
        <v>16</v>
      </c>
    </row>
    <row r="140" customFormat="false" ht="15" hidden="false" customHeight="false" outlineLevel="0" collapsed="false">
      <c r="A140" s="7" t="n">
        <v>139</v>
      </c>
      <c r="B140" s="7" t="s">
        <v>28</v>
      </c>
      <c r="C140" s="7" t="n">
        <v>90</v>
      </c>
      <c r="D140" s="7" t="n">
        <v>10</v>
      </c>
      <c r="E140" s="12" t="n">
        <f aca="false">VLOOKUP(D140,Cronograma!$A$5:$B$44,2,FALSE())</f>
        <v>46209</v>
      </c>
      <c r="F140" s="9" t="s">
        <v>16</v>
      </c>
    </row>
    <row r="141" customFormat="false" ht="15" hidden="false" customHeight="false" outlineLevel="0" collapsed="false">
      <c r="A141" s="7" t="n">
        <v>140</v>
      </c>
      <c r="B141" s="7" t="s">
        <v>28</v>
      </c>
      <c r="C141" s="7" t="n">
        <v>43</v>
      </c>
      <c r="D141" s="7" t="n">
        <v>11</v>
      </c>
      <c r="E141" s="12" t="n">
        <f aca="false">VLOOKUP(D141,Cronograma!$A$5:$B$44,2,FALSE())</f>
        <v>46210</v>
      </c>
      <c r="F141" s="9" t="s">
        <v>16</v>
      </c>
    </row>
    <row r="142" customFormat="false" ht="15" hidden="false" customHeight="false" outlineLevel="0" collapsed="false">
      <c r="A142" s="7" t="n">
        <v>141</v>
      </c>
      <c r="B142" s="7" t="s">
        <v>28</v>
      </c>
      <c r="C142" s="7" t="n">
        <v>47</v>
      </c>
      <c r="D142" s="7" t="n">
        <v>11</v>
      </c>
      <c r="E142" s="12" t="n">
        <f aca="false">VLOOKUP(D142,Cronograma!$A$5:$B$44,2,FALSE())</f>
        <v>46210</v>
      </c>
      <c r="F142" s="9" t="s">
        <v>16</v>
      </c>
    </row>
    <row r="143" customFormat="false" ht="15" hidden="false" customHeight="false" outlineLevel="0" collapsed="false">
      <c r="A143" s="7" t="n">
        <v>142</v>
      </c>
      <c r="B143" s="7" t="s">
        <v>28</v>
      </c>
      <c r="C143" s="7" t="n">
        <v>44</v>
      </c>
      <c r="D143" s="7" t="n">
        <v>11</v>
      </c>
      <c r="E143" s="12" t="n">
        <f aca="false">VLOOKUP(D143,Cronograma!$A$5:$B$44,2,FALSE())</f>
        <v>46210</v>
      </c>
      <c r="F143" s="9" t="s">
        <v>16</v>
      </c>
    </row>
    <row r="144" customFormat="false" ht="15" hidden="false" customHeight="false" outlineLevel="0" collapsed="false">
      <c r="A144" s="7" t="n">
        <v>143</v>
      </c>
      <c r="B144" s="7" t="s">
        <v>28</v>
      </c>
      <c r="C144" s="7" t="n">
        <v>93</v>
      </c>
      <c r="D144" s="7" t="n">
        <v>11</v>
      </c>
      <c r="E144" s="12" t="n">
        <f aca="false">VLOOKUP(D144,Cronograma!$A$5:$B$44,2,FALSE())</f>
        <v>46210</v>
      </c>
      <c r="F144" s="9" t="s">
        <v>16</v>
      </c>
    </row>
    <row r="145" customFormat="false" ht="15" hidden="false" customHeight="false" outlineLevel="0" collapsed="false">
      <c r="A145" s="7" t="n">
        <v>144</v>
      </c>
      <c r="B145" s="7" t="s">
        <v>28</v>
      </c>
      <c r="C145" s="7" t="n">
        <v>18</v>
      </c>
      <c r="D145" s="7" t="n">
        <v>11</v>
      </c>
      <c r="E145" s="12" t="n">
        <f aca="false">VLOOKUP(D145,Cronograma!$A$5:$B$44,2,FALSE())</f>
        <v>46210</v>
      </c>
      <c r="F145" s="9" t="s">
        <v>16</v>
      </c>
    </row>
    <row r="146" customFormat="false" ht="15" hidden="false" customHeight="false" outlineLevel="0" collapsed="false">
      <c r="A146" s="7" t="n">
        <v>145</v>
      </c>
      <c r="B146" s="7" t="s">
        <v>28</v>
      </c>
      <c r="C146" s="7" t="n">
        <v>1</v>
      </c>
      <c r="D146" s="7" t="n">
        <v>11</v>
      </c>
      <c r="E146" s="12" t="n">
        <f aca="false">VLOOKUP(D146,Cronograma!$A$5:$B$44,2,FALSE())</f>
        <v>46210</v>
      </c>
      <c r="F146" s="9" t="s">
        <v>16</v>
      </c>
    </row>
    <row r="147" customFormat="false" ht="15" hidden="false" customHeight="false" outlineLevel="0" collapsed="false">
      <c r="A147" s="7" t="n">
        <v>146</v>
      </c>
      <c r="B147" s="7" t="s">
        <v>28</v>
      </c>
      <c r="C147" s="7" t="n">
        <v>9</v>
      </c>
      <c r="D147" s="7" t="n">
        <v>11</v>
      </c>
      <c r="E147" s="12" t="n">
        <f aca="false">VLOOKUP(D147,Cronograma!$A$5:$B$44,2,FALSE())</f>
        <v>46210</v>
      </c>
      <c r="F147" s="9" t="s">
        <v>16</v>
      </c>
    </row>
    <row r="148" customFormat="false" ht="15" hidden="false" customHeight="false" outlineLevel="0" collapsed="false">
      <c r="A148" s="7" t="n">
        <v>147</v>
      </c>
      <c r="B148" s="7" t="s">
        <v>28</v>
      </c>
      <c r="C148" s="7" t="n">
        <v>2</v>
      </c>
      <c r="D148" s="7" t="n">
        <v>11</v>
      </c>
      <c r="E148" s="12" t="n">
        <f aca="false">VLOOKUP(D148,Cronograma!$A$5:$B$44,2,FALSE())</f>
        <v>46210</v>
      </c>
      <c r="F148" s="9" t="s">
        <v>16</v>
      </c>
    </row>
    <row r="149" customFormat="false" ht="15" hidden="false" customHeight="false" outlineLevel="0" collapsed="false">
      <c r="A149" s="7" t="n">
        <v>148</v>
      </c>
      <c r="B149" s="7" t="s">
        <v>28</v>
      </c>
      <c r="C149" s="7" t="n">
        <v>17</v>
      </c>
      <c r="D149" s="7" t="n">
        <v>11</v>
      </c>
      <c r="E149" s="12" t="n">
        <f aca="false">VLOOKUP(D149,Cronograma!$A$5:$B$44,2,FALSE())</f>
        <v>46210</v>
      </c>
      <c r="F149" s="9" t="s">
        <v>16</v>
      </c>
    </row>
    <row r="150" customFormat="false" ht="15" hidden="false" customHeight="false" outlineLevel="0" collapsed="false">
      <c r="A150" s="7" t="n">
        <v>149</v>
      </c>
      <c r="B150" s="7" t="s">
        <v>28</v>
      </c>
      <c r="C150" s="7" t="n">
        <v>3</v>
      </c>
      <c r="D150" s="7" t="n">
        <v>11</v>
      </c>
      <c r="E150" s="12" t="n">
        <f aca="false">VLOOKUP(D150,Cronograma!$A$5:$B$44,2,FALSE())</f>
        <v>46210</v>
      </c>
      <c r="F150" s="9" t="s">
        <v>16</v>
      </c>
    </row>
    <row r="151" customFormat="false" ht="15" hidden="false" customHeight="false" outlineLevel="0" collapsed="false">
      <c r="A151" s="7" t="n">
        <v>150</v>
      </c>
      <c r="B151" s="7" t="s">
        <v>28</v>
      </c>
      <c r="C151" s="7" t="n">
        <v>43</v>
      </c>
      <c r="D151" s="7" t="n">
        <v>11</v>
      </c>
      <c r="E151" s="12" t="n">
        <f aca="false">VLOOKUP(D151,Cronograma!$A$5:$B$44,2,FALSE())</f>
        <v>46210</v>
      </c>
      <c r="F151" s="9" t="s">
        <v>16</v>
      </c>
    </row>
    <row r="152" customFormat="false" ht="15" hidden="false" customHeight="false" outlineLevel="0" collapsed="false">
      <c r="A152" s="7" t="n">
        <v>151</v>
      </c>
      <c r="B152" s="7" t="s">
        <v>28</v>
      </c>
      <c r="C152" s="7" t="n">
        <v>3</v>
      </c>
      <c r="D152" s="7" t="n">
        <v>11</v>
      </c>
      <c r="E152" s="12" t="n">
        <f aca="false">VLOOKUP(D152,Cronograma!$A$5:$B$44,2,FALSE())</f>
        <v>46210</v>
      </c>
      <c r="F152" s="9" t="s">
        <v>16</v>
      </c>
    </row>
    <row r="153" customFormat="false" ht="15" hidden="false" customHeight="false" outlineLevel="0" collapsed="false">
      <c r="A153" s="7" t="n">
        <v>152</v>
      </c>
      <c r="B153" s="7" t="s">
        <v>28</v>
      </c>
      <c r="C153" s="7" t="n">
        <v>16</v>
      </c>
      <c r="D153" s="7" t="n">
        <v>11</v>
      </c>
      <c r="E153" s="12" t="n">
        <f aca="false">VLOOKUP(D153,Cronograma!$A$5:$B$44,2,FALSE())</f>
        <v>46210</v>
      </c>
      <c r="F153" s="9" t="s">
        <v>16</v>
      </c>
    </row>
    <row r="154" customFormat="false" ht="15" hidden="false" customHeight="false" outlineLevel="0" collapsed="false">
      <c r="A154" s="7" t="n">
        <v>153</v>
      </c>
      <c r="B154" s="7" t="s">
        <v>28</v>
      </c>
      <c r="C154" s="7" t="n">
        <v>7</v>
      </c>
      <c r="D154" s="7" t="n">
        <v>11</v>
      </c>
      <c r="E154" s="12" t="n">
        <f aca="false">VLOOKUP(D154,Cronograma!$A$5:$B$44,2,FALSE())</f>
        <v>46210</v>
      </c>
      <c r="F154" s="9" t="s">
        <v>16</v>
      </c>
    </row>
    <row r="155" customFormat="false" ht="15" hidden="false" customHeight="false" outlineLevel="0" collapsed="false">
      <c r="A155" s="7" t="n">
        <v>154</v>
      </c>
      <c r="B155" s="7" t="s">
        <v>28</v>
      </c>
      <c r="C155" s="7" t="n">
        <v>10</v>
      </c>
      <c r="D155" s="7" t="n">
        <v>11</v>
      </c>
      <c r="E155" s="12" t="n">
        <f aca="false">VLOOKUP(D155,Cronograma!$A$5:$B$44,2,FALSE())</f>
        <v>46210</v>
      </c>
      <c r="F155" s="9" t="s">
        <v>16</v>
      </c>
    </row>
    <row r="156" customFormat="false" ht="15" hidden="false" customHeight="false" outlineLevel="0" collapsed="false">
      <c r="A156" s="7" t="n">
        <v>155</v>
      </c>
      <c r="B156" s="7" t="s">
        <v>28</v>
      </c>
      <c r="C156" s="7" t="n">
        <v>12</v>
      </c>
      <c r="D156" s="7" t="n">
        <v>11</v>
      </c>
      <c r="E156" s="12" t="n">
        <f aca="false">VLOOKUP(D156,Cronograma!$A$5:$B$44,2,FALSE())</f>
        <v>46210</v>
      </c>
      <c r="F156" s="9" t="s">
        <v>16</v>
      </c>
    </row>
    <row r="157" customFormat="false" ht="15" hidden="false" customHeight="false" outlineLevel="0" collapsed="false">
      <c r="A157" s="7" t="n">
        <v>156</v>
      </c>
      <c r="B157" s="7" t="s">
        <v>28</v>
      </c>
      <c r="C157" s="7" t="n">
        <v>5</v>
      </c>
      <c r="D157" s="7" t="n">
        <v>12</v>
      </c>
      <c r="E157" s="12" t="n">
        <f aca="false">VLOOKUP(D157,Cronograma!$A$5:$B$44,2,FALSE())</f>
        <v>46211</v>
      </c>
      <c r="F157" s="9" t="s">
        <v>16</v>
      </c>
    </row>
    <row r="158" customFormat="false" ht="15" hidden="false" customHeight="false" outlineLevel="0" collapsed="false">
      <c r="A158" s="7" t="n">
        <v>157</v>
      </c>
      <c r="B158" s="7" t="s">
        <v>28</v>
      </c>
      <c r="C158" s="7" t="n">
        <v>10</v>
      </c>
      <c r="D158" s="7" t="n">
        <v>12</v>
      </c>
      <c r="E158" s="12" t="n">
        <f aca="false">VLOOKUP(D158,Cronograma!$A$5:$B$44,2,FALSE())</f>
        <v>46211</v>
      </c>
      <c r="F158" s="9" t="s">
        <v>16</v>
      </c>
    </row>
    <row r="159" customFormat="false" ht="15" hidden="false" customHeight="false" outlineLevel="0" collapsed="false">
      <c r="A159" s="7" t="n">
        <v>158</v>
      </c>
      <c r="B159" s="7" t="s">
        <v>28</v>
      </c>
      <c r="C159" s="7" t="n">
        <v>25</v>
      </c>
      <c r="D159" s="7" t="n">
        <v>12</v>
      </c>
      <c r="E159" s="12" t="n">
        <f aca="false">VLOOKUP(D159,Cronograma!$A$5:$B$44,2,FALSE())</f>
        <v>46211</v>
      </c>
      <c r="F159" s="9" t="s">
        <v>16</v>
      </c>
    </row>
    <row r="160" customFormat="false" ht="15" hidden="false" customHeight="false" outlineLevel="0" collapsed="false">
      <c r="A160" s="7" t="n">
        <v>159</v>
      </c>
      <c r="B160" s="7" t="s">
        <v>28</v>
      </c>
      <c r="C160" s="7" t="n">
        <v>35</v>
      </c>
      <c r="D160" s="7" t="n">
        <v>12</v>
      </c>
      <c r="E160" s="12" t="n">
        <f aca="false">VLOOKUP(D160,Cronograma!$A$5:$B$44,2,FALSE())</f>
        <v>46211</v>
      </c>
      <c r="F160" s="9" t="s">
        <v>16</v>
      </c>
    </row>
    <row r="161" customFormat="false" ht="15" hidden="false" customHeight="false" outlineLevel="0" collapsed="false">
      <c r="A161" s="7" t="n">
        <v>160</v>
      </c>
      <c r="B161" s="7" t="s">
        <v>28</v>
      </c>
      <c r="C161" s="7" t="n">
        <v>3</v>
      </c>
      <c r="D161" s="7" t="n">
        <v>12</v>
      </c>
      <c r="E161" s="12" t="n">
        <f aca="false">VLOOKUP(D161,Cronograma!$A$5:$B$44,2,FALSE())</f>
        <v>46211</v>
      </c>
      <c r="F161" s="9" t="s">
        <v>16</v>
      </c>
    </row>
    <row r="162" customFormat="false" ht="15" hidden="false" customHeight="false" outlineLevel="0" collapsed="false">
      <c r="A162" s="7" t="n">
        <v>161</v>
      </c>
      <c r="B162" s="7" t="s">
        <v>28</v>
      </c>
      <c r="C162" s="7" t="n">
        <v>18</v>
      </c>
      <c r="D162" s="7" t="n">
        <v>12</v>
      </c>
      <c r="E162" s="12" t="n">
        <f aca="false">VLOOKUP(D162,Cronograma!$A$5:$B$44,2,FALSE())</f>
        <v>46211</v>
      </c>
      <c r="F162" s="9" t="s">
        <v>16</v>
      </c>
    </row>
    <row r="163" customFormat="false" ht="15" hidden="false" customHeight="false" outlineLevel="0" collapsed="false">
      <c r="A163" s="7" t="n">
        <v>162</v>
      </c>
      <c r="B163" s="7" t="s">
        <v>28</v>
      </c>
      <c r="C163" s="7" t="n">
        <v>5</v>
      </c>
      <c r="D163" s="7" t="n">
        <v>12</v>
      </c>
      <c r="E163" s="12" t="n">
        <f aca="false">VLOOKUP(D163,Cronograma!$A$5:$B$44,2,FALSE())</f>
        <v>46211</v>
      </c>
      <c r="F163" s="9" t="s">
        <v>16</v>
      </c>
    </row>
    <row r="164" customFormat="false" ht="15" hidden="false" customHeight="false" outlineLevel="0" collapsed="false">
      <c r="A164" s="7" t="n">
        <v>163</v>
      </c>
      <c r="B164" s="7" t="s">
        <v>28</v>
      </c>
      <c r="C164" s="7" t="n">
        <v>72</v>
      </c>
      <c r="D164" s="7" t="n">
        <v>12</v>
      </c>
      <c r="E164" s="12" t="n">
        <f aca="false">VLOOKUP(D164,Cronograma!$A$5:$B$44,2,FALSE())</f>
        <v>46211</v>
      </c>
      <c r="F164" s="9" t="s">
        <v>16</v>
      </c>
    </row>
    <row r="165" customFormat="false" ht="15" hidden="false" customHeight="false" outlineLevel="0" collapsed="false">
      <c r="A165" s="7" t="n">
        <v>164</v>
      </c>
      <c r="B165" s="7" t="s">
        <v>28</v>
      </c>
      <c r="C165" s="7" t="n">
        <v>26</v>
      </c>
      <c r="D165" s="7" t="n">
        <v>12</v>
      </c>
      <c r="E165" s="12" t="n">
        <f aca="false">VLOOKUP(D165,Cronograma!$A$5:$B$44,2,FALSE())</f>
        <v>46211</v>
      </c>
      <c r="F165" s="9" t="s">
        <v>16</v>
      </c>
    </row>
    <row r="166" customFormat="false" ht="15" hidden="false" customHeight="false" outlineLevel="0" collapsed="false">
      <c r="A166" s="7" t="n">
        <v>165</v>
      </c>
      <c r="B166" s="7" t="s">
        <v>28</v>
      </c>
      <c r="C166" s="7" t="n">
        <v>7</v>
      </c>
      <c r="D166" s="7" t="n">
        <v>12</v>
      </c>
      <c r="E166" s="12" t="n">
        <f aca="false">VLOOKUP(D166,Cronograma!$A$5:$B$44,2,FALSE())</f>
        <v>46211</v>
      </c>
      <c r="F166" s="9" t="s">
        <v>16</v>
      </c>
    </row>
    <row r="167" customFormat="false" ht="15" hidden="false" customHeight="false" outlineLevel="0" collapsed="false">
      <c r="A167" s="7" t="n">
        <v>166</v>
      </c>
      <c r="B167" s="7" t="s">
        <v>28</v>
      </c>
      <c r="C167" s="7" t="n">
        <v>11</v>
      </c>
      <c r="D167" s="7" t="n">
        <v>12</v>
      </c>
      <c r="E167" s="12" t="n">
        <f aca="false">VLOOKUP(D167,Cronograma!$A$5:$B$44,2,FALSE())</f>
        <v>46211</v>
      </c>
      <c r="F167" s="9" t="s">
        <v>16</v>
      </c>
    </row>
    <row r="168" customFormat="false" ht="15" hidden="false" customHeight="false" outlineLevel="0" collapsed="false">
      <c r="A168" s="7" t="n">
        <v>167</v>
      </c>
      <c r="B168" s="7" t="s">
        <v>28</v>
      </c>
      <c r="C168" s="7" t="n">
        <v>6</v>
      </c>
      <c r="D168" s="7" t="n">
        <v>12</v>
      </c>
      <c r="E168" s="12" t="n">
        <f aca="false">VLOOKUP(D168,Cronograma!$A$5:$B$44,2,FALSE())</f>
        <v>46211</v>
      </c>
      <c r="F168" s="9" t="s">
        <v>16</v>
      </c>
    </row>
    <row r="169" customFormat="false" ht="15" hidden="false" customHeight="false" outlineLevel="0" collapsed="false">
      <c r="A169" s="7" t="n">
        <v>168</v>
      </c>
      <c r="B169" s="7" t="s">
        <v>28</v>
      </c>
      <c r="C169" s="7" t="n">
        <v>19</v>
      </c>
      <c r="D169" s="7" t="n">
        <v>12</v>
      </c>
      <c r="E169" s="12" t="n">
        <f aca="false">VLOOKUP(D169,Cronograma!$A$5:$B$44,2,FALSE())</f>
        <v>46211</v>
      </c>
      <c r="F169" s="9" t="s">
        <v>16</v>
      </c>
    </row>
    <row r="170" customFormat="false" ht="15" hidden="false" customHeight="false" outlineLevel="0" collapsed="false">
      <c r="A170" s="7" t="n">
        <v>169</v>
      </c>
      <c r="B170" s="7" t="s">
        <v>28</v>
      </c>
      <c r="C170" s="7" t="n">
        <v>18</v>
      </c>
      <c r="D170" s="7" t="n">
        <v>12</v>
      </c>
      <c r="E170" s="12" t="n">
        <f aca="false">VLOOKUP(D170,Cronograma!$A$5:$B$44,2,FALSE())</f>
        <v>46211</v>
      </c>
      <c r="F170" s="9" t="s">
        <v>16</v>
      </c>
    </row>
    <row r="171" customFormat="false" ht="15" hidden="false" customHeight="false" outlineLevel="0" collapsed="false">
      <c r="A171" s="7" t="n">
        <v>170</v>
      </c>
      <c r="B171" s="7" t="s">
        <v>28</v>
      </c>
      <c r="C171" s="7" t="n">
        <v>10</v>
      </c>
      <c r="D171" s="7" t="n">
        <v>12</v>
      </c>
      <c r="E171" s="12" t="n">
        <f aca="false">VLOOKUP(D171,Cronograma!$A$5:$B$44,2,FALSE())</f>
        <v>46211</v>
      </c>
      <c r="F171" s="9" t="s">
        <v>16</v>
      </c>
    </row>
    <row r="172" customFormat="false" ht="15" hidden="false" customHeight="false" outlineLevel="0" collapsed="false">
      <c r="A172" s="7" t="n">
        <v>171</v>
      </c>
      <c r="B172" s="7" t="s">
        <v>28</v>
      </c>
      <c r="C172" s="7" t="n">
        <v>8</v>
      </c>
      <c r="D172" s="7" t="n">
        <v>12</v>
      </c>
      <c r="E172" s="12" t="n">
        <f aca="false">VLOOKUP(D172,Cronograma!$A$5:$B$44,2,FALSE())</f>
        <v>46211</v>
      </c>
      <c r="F172" s="9" t="s">
        <v>16</v>
      </c>
    </row>
    <row r="173" customFormat="false" ht="15" hidden="false" customHeight="false" outlineLevel="0" collapsed="false">
      <c r="A173" s="7" t="n">
        <v>172</v>
      </c>
      <c r="B173" s="7" t="s">
        <v>28</v>
      </c>
      <c r="C173" s="7" t="n">
        <v>10</v>
      </c>
      <c r="D173" s="7" t="n">
        <v>12</v>
      </c>
      <c r="E173" s="12" t="n">
        <f aca="false">VLOOKUP(D173,Cronograma!$A$5:$B$44,2,FALSE())</f>
        <v>46211</v>
      </c>
      <c r="F173" s="9" t="s">
        <v>16</v>
      </c>
    </row>
    <row r="174" customFormat="false" ht="15" hidden="false" customHeight="false" outlineLevel="0" collapsed="false">
      <c r="A174" s="7" t="n">
        <v>173</v>
      </c>
      <c r="B174" s="7" t="s">
        <v>28</v>
      </c>
      <c r="C174" s="7" t="n">
        <v>20</v>
      </c>
      <c r="D174" s="7" t="n">
        <v>12</v>
      </c>
      <c r="E174" s="12" t="n">
        <f aca="false">VLOOKUP(D174,Cronograma!$A$5:$B$44,2,FALSE())</f>
        <v>46211</v>
      </c>
      <c r="F174" s="9" t="s">
        <v>16</v>
      </c>
    </row>
    <row r="175" customFormat="false" ht="15" hidden="false" customHeight="false" outlineLevel="0" collapsed="false">
      <c r="A175" s="7" t="n">
        <v>174</v>
      </c>
      <c r="B175" s="7" t="s">
        <v>28</v>
      </c>
      <c r="C175" s="7" t="n">
        <v>34</v>
      </c>
      <c r="D175" s="7" t="n">
        <v>12</v>
      </c>
      <c r="E175" s="12" t="n">
        <f aca="false">VLOOKUP(D175,Cronograma!$A$5:$B$44,2,FALSE())</f>
        <v>46211</v>
      </c>
      <c r="F175" s="9" t="s">
        <v>16</v>
      </c>
    </row>
    <row r="176" customFormat="false" ht="15" hidden="false" customHeight="false" outlineLevel="0" collapsed="false">
      <c r="A176" s="7" t="n">
        <v>175</v>
      </c>
      <c r="B176" s="7" t="s">
        <v>28</v>
      </c>
      <c r="C176" s="7" t="n">
        <v>49</v>
      </c>
      <c r="D176" s="7" t="n">
        <v>12</v>
      </c>
      <c r="E176" s="12" t="n">
        <f aca="false">VLOOKUP(D176,Cronograma!$A$5:$B$44,2,FALSE())</f>
        <v>46211</v>
      </c>
      <c r="F176" s="9" t="s">
        <v>16</v>
      </c>
    </row>
    <row r="177" customFormat="false" ht="15" hidden="false" customHeight="false" outlineLevel="0" collapsed="false">
      <c r="A177" s="7" t="n">
        <v>176</v>
      </c>
      <c r="B177" s="7" t="s">
        <v>28</v>
      </c>
      <c r="C177" s="7" t="n">
        <v>29</v>
      </c>
      <c r="D177" s="7" t="n">
        <v>13</v>
      </c>
      <c r="E177" s="12" t="n">
        <f aca="false">VLOOKUP(D177,Cronograma!$A$5:$B$44,2,FALSE())</f>
        <v>46212</v>
      </c>
      <c r="F177" s="9" t="s">
        <v>16</v>
      </c>
    </row>
    <row r="178" customFormat="false" ht="15" hidden="false" customHeight="false" outlineLevel="0" collapsed="false">
      <c r="A178" s="7" t="n">
        <v>177</v>
      </c>
      <c r="B178" s="7" t="s">
        <v>28</v>
      </c>
      <c r="C178" s="7" t="n">
        <v>9</v>
      </c>
      <c r="D178" s="7" t="n">
        <v>13</v>
      </c>
      <c r="E178" s="12" t="n">
        <f aca="false">VLOOKUP(D178,Cronograma!$A$5:$B$44,2,FALSE())</f>
        <v>46212</v>
      </c>
      <c r="F178" s="9" t="s">
        <v>16</v>
      </c>
    </row>
    <row r="179" customFormat="false" ht="15" hidden="false" customHeight="false" outlineLevel="0" collapsed="false">
      <c r="A179" s="7" t="n">
        <v>178</v>
      </c>
      <c r="B179" s="7" t="s">
        <v>28</v>
      </c>
      <c r="C179" s="7" t="n">
        <v>12</v>
      </c>
      <c r="D179" s="7" t="n">
        <v>13</v>
      </c>
      <c r="E179" s="12" t="n">
        <f aca="false">VLOOKUP(D179,Cronograma!$A$5:$B$44,2,FALSE())</f>
        <v>46212</v>
      </c>
      <c r="F179" s="9" t="s">
        <v>16</v>
      </c>
    </row>
    <row r="180" customFormat="false" ht="15" hidden="false" customHeight="false" outlineLevel="0" collapsed="false">
      <c r="A180" s="7" t="n">
        <v>179</v>
      </c>
      <c r="B180" s="7" t="s">
        <v>28</v>
      </c>
      <c r="C180" s="7" t="n">
        <v>21</v>
      </c>
      <c r="D180" s="7" t="n">
        <v>13</v>
      </c>
      <c r="E180" s="12" t="n">
        <f aca="false">VLOOKUP(D180,Cronograma!$A$5:$B$44,2,FALSE())</f>
        <v>46212</v>
      </c>
      <c r="F180" s="9" t="s">
        <v>16</v>
      </c>
    </row>
    <row r="181" customFormat="false" ht="15" hidden="false" customHeight="false" outlineLevel="0" collapsed="false">
      <c r="A181" s="7" t="n">
        <v>180</v>
      </c>
      <c r="B181" s="7" t="s">
        <v>28</v>
      </c>
      <c r="C181" s="7" t="n">
        <v>62</v>
      </c>
      <c r="D181" s="7" t="n">
        <v>13</v>
      </c>
      <c r="E181" s="12" t="n">
        <f aca="false">VLOOKUP(D181,Cronograma!$A$5:$B$44,2,FALSE())</f>
        <v>46212</v>
      </c>
      <c r="F181" s="9" t="s">
        <v>16</v>
      </c>
    </row>
    <row r="182" customFormat="false" ht="15" hidden="false" customHeight="false" outlineLevel="0" collapsed="false">
      <c r="A182" s="7" t="n">
        <v>181</v>
      </c>
      <c r="B182" s="7" t="s">
        <v>28</v>
      </c>
      <c r="C182" s="7" t="n">
        <v>7</v>
      </c>
      <c r="D182" s="7" t="n">
        <v>13</v>
      </c>
      <c r="E182" s="12" t="n">
        <f aca="false">VLOOKUP(D182,Cronograma!$A$5:$B$44,2,FALSE())</f>
        <v>46212</v>
      </c>
      <c r="F182" s="9" t="s">
        <v>16</v>
      </c>
    </row>
    <row r="183" customFormat="false" ht="15" hidden="false" customHeight="false" outlineLevel="0" collapsed="false">
      <c r="A183" s="7" t="n">
        <v>182</v>
      </c>
      <c r="B183" s="7" t="s">
        <v>28</v>
      </c>
      <c r="C183" s="7" t="n">
        <v>67</v>
      </c>
      <c r="D183" s="7" t="n">
        <v>13</v>
      </c>
      <c r="E183" s="12" t="n">
        <f aca="false">VLOOKUP(D183,Cronograma!$A$5:$B$44,2,FALSE())</f>
        <v>46212</v>
      </c>
      <c r="F183" s="9" t="s">
        <v>16</v>
      </c>
    </row>
    <row r="184" customFormat="false" ht="15" hidden="false" customHeight="false" outlineLevel="0" collapsed="false">
      <c r="A184" s="7" t="n">
        <v>183</v>
      </c>
      <c r="B184" s="7" t="s">
        <v>28</v>
      </c>
      <c r="C184" s="7" t="n">
        <v>82</v>
      </c>
      <c r="D184" s="7" t="n">
        <v>13</v>
      </c>
      <c r="E184" s="12" t="n">
        <f aca="false">VLOOKUP(D184,Cronograma!$A$5:$B$44,2,FALSE())</f>
        <v>46212</v>
      </c>
      <c r="F184" s="9" t="s">
        <v>16</v>
      </c>
    </row>
    <row r="185" customFormat="false" ht="15" hidden="false" customHeight="false" outlineLevel="0" collapsed="false">
      <c r="A185" s="7" t="n">
        <v>184</v>
      </c>
      <c r="B185" s="7" t="s">
        <v>28</v>
      </c>
      <c r="C185" s="7" t="n">
        <v>64</v>
      </c>
      <c r="D185" s="7" t="n">
        <v>13</v>
      </c>
      <c r="E185" s="12" t="n">
        <f aca="false">VLOOKUP(D185,Cronograma!$A$5:$B$44,2,FALSE())</f>
        <v>46212</v>
      </c>
      <c r="F185" s="9" t="s">
        <v>16</v>
      </c>
    </row>
    <row r="186" customFormat="false" ht="15" hidden="false" customHeight="false" outlineLevel="0" collapsed="false">
      <c r="A186" s="7" t="n">
        <v>185</v>
      </c>
      <c r="B186" s="7" t="s">
        <v>28</v>
      </c>
      <c r="C186" s="7" t="n">
        <v>86</v>
      </c>
      <c r="D186" s="7" t="n">
        <v>13</v>
      </c>
      <c r="E186" s="12" t="n">
        <f aca="false">VLOOKUP(D186,Cronograma!$A$5:$B$44,2,FALSE())</f>
        <v>46212</v>
      </c>
      <c r="F186" s="9" t="s">
        <v>16</v>
      </c>
    </row>
    <row r="187" customFormat="false" ht="15" hidden="false" customHeight="false" outlineLevel="0" collapsed="false">
      <c r="A187" s="7" t="n">
        <v>186</v>
      </c>
      <c r="B187" s="7" t="s">
        <v>28</v>
      </c>
      <c r="C187" s="7" t="n">
        <v>89</v>
      </c>
      <c r="D187" s="7" t="n">
        <v>14</v>
      </c>
      <c r="E187" s="12" t="n">
        <f aca="false">VLOOKUP(D187,Cronograma!$A$5:$B$44,2,FALSE())</f>
        <v>46213</v>
      </c>
      <c r="F187" s="9" t="s">
        <v>16</v>
      </c>
    </row>
    <row r="188" customFormat="false" ht="15" hidden="false" customHeight="false" outlineLevel="0" collapsed="false">
      <c r="A188" s="7" t="n">
        <v>187</v>
      </c>
      <c r="B188" s="7" t="s">
        <v>28</v>
      </c>
      <c r="C188" s="7" t="n">
        <v>64</v>
      </c>
      <c r="D188" s="7" t="n">
        <v>14</v>
      </c>
      <c r="E188" s="12" t="n">
        <f aca="false">VLOOKUP(D188,Cronograma!$A$5:$B$44,2,FALSE())</f>
        <v>46213</v>
      </c>
      <c r="F188" s="9" t="s">
        <v>16</v>
      </c>
    </row>
    <row r="189" customFormat="false" ht="15" hidden="false" customHeight="false" outlineLevel="0" collapsed="false">
      <c r="A189" s="7" t="n">
        <v>188</v>
      </c>
      <c r="B189" s="7" t="s">
        <v>28</v>
      </c>
      <c r="C189" s="7" t="n">
        <v>57</v>
      </c>
      <c r="D189" s="7" t="n">
        <v>14</v>
      </c>
      <c r="E189" s="12" t="n">
        <f aca="false">VLOOKUP(D189,Cronograma!$A$5:$B$44,2,FALSE())</f>
        <v>46213</v>
      </c>
      <c r="F189" s="9" t="s">
        <v>16</v>
      </c>
    </row>
    <row r="190" customFormat="false" ht="15" hidden="false" customHeight="false" outlineLevel="0" collapsed="false">
      <c r="A190" s="7" t="n">
        <v>189</v>
      </c>
      <c r="B190" s="7" t="s">
        <v>28</v>
      </c>
      <c r="C190" s="7" t="n">
        <v>113</v>
      </c>
      <c r="D190" s="7" t="n">
        <v>14</v>
      </c>
      <c r="E190" s="12" t="n">
        <f aca="false">VLOOKUP(D190,Cronograma!$A$5:$B$44,2,FALSE())</f>
        <v>46213</v>
      </c>
      <c r="F190" s="9" t="s">
        <v>16</v>
      </c>
    </row>
    <row r="191" customFormat="false" ht="15" hidden="false" customHeight="false" outlineLevel="0" collapsed="false">
      <c r="A191" s="7" t="n">
        <v>190</v>
      </c>
      <c r="B191" s="7" t="s">
        <v>28</v>
      </c>
      <c r="C191" s="7" t="n">
        <v>106</v>
      </c>
      <c r="D191" s="7" t="n">
        <v>14</v>
      </c>
      <c r="E191" s="12" t="n">
        <f aca="false">VLOOKUP(D191,Cronograma!$A$5:$B$44,2,FALSE())</f>
        <v>46213</v>
      </c>
      <c r="F191" s="9" t="s">
        <v>16</v>
      </c>
    </row>
    <row r="192" customFormat="false" ht="15" hidden="false" customHeight="false" outlineLevel="0" collapsed="false">
      <c r="A192" s="7" t="n">
        <v>191</v>
      </c>
      <c r="B192" s="7" t="s">
        <v>28</v>
      </c>
      <c r="C192" s="7" t="n">
        <v>76</v>
      </c>
      <c r="D192" s="7" t="n">
        <v>15</v>
      </c>
      <c r="E192" s="12" t="n">
        <f aca="false">VLOOKUP(D192,Cronograma!$A$5:$B$44,2,FALSE())</f>
        <v>46214</v>
      </c>
      <c r="F192" s="9" t="s">
        <v>16</v>
      </c>
    </row>
    <row r="193" customFormat="false" ht="15" hidden="false" customHeight="false" outlineLevel="0" collapsed="false">
      <c r="A193" s="7" t="n">
        <v>192</v>
      </c>
      <c r="B193" s="7" t="s">
        <v>28</v>
      </c>
      <c r="C193" s="7" t="n">
        <v>67</v>
      </c>
      <c r="D193" s="7" t="n">
        <v>15</v>
      </c>
      <c r="E193" s="12" t="n">
        <f aca="false">VLOOKUP(D193,Cronograma!$A$5:$B$44,2,FALSE())</f>
        <v>46214</v>
      </c>
      <c r="F193" s="9" t="s">
        <v>16</v>
      </c>
    </row>
    <row r="194" customFormat="false" ht="15" hidden="false" customHeight="false" outlineLevel="0" collapsed="false">
      <c r="A194" s="7" t="n">
        <v>193</v>
      </c>
      <c r="B194" s="7" t="s">
        <v>28</v>
      </c>
      <c r="C194" s="7" t="n">
        <v>86</v>
      </c>
      <c r="D194" s="7" t="n">
        <v>15</v>
      </c>
      <c r="E194" s="12" t="n">
        <f aca="false">VLOOKUP(D194,Cronograma!$A$5:$B$44,2,FALSE())</f>
        <v>46214</v>
      </c>
      <c r="F194" s="9" t="s">
        <v>16</v>
      </c>
    </row>
    <row r="195" customFormat="false" ht="15" hidden="false" customHeight="false" outlineLevel="0" collapsed="false">
      <c r="A195" s="7" t="n">
        <v>194</v>
      </c>
      <c r="B195" s="7" t="s">
        <v>28</v>
      </c>
      <c r="C195" s="7" t="n">
        <v>86</v>
      </c>
      <c r="D195" s="7" t="n">
        <v>15</v>
      </c>
      <c r="E195" s="12" t="n">
        <f aca="false">VLOOKUP(D195,Cronograma!$A$5:$B$44,2,FALSE())</f>
        <v>46214</v>
      </c>
      <c r="F195" s="9" t="s">
        <v>16</v>
      </c>
    </row>
    <row r="196" customFormat="false" ht="15" hidden="false" customHeight="false" outlineLevel="0" collapsed="false">
      <c r="A196" s="7" t="n">
        <v>195</v>
      </c>
      <c r="B196" s="7" t="s">
        <v>28</v>
      </c>
      <c r="C196" s="7" t="n">
        <v>103</v>
      </c>
      <c r="D196" s="7" t="n">
        <v>15</v>
      </c>
      <c r="E196" s="12" t="n">
        <f aca="false">VLOOKUP(D196,Cronograma!$A$5:$B$44,2,FALSE())</f>
        <v>46214</v>
      </c>
      <c r="F196" s="9" t="s">
        <v>16</v>
      </c>
    </row>
    <row r="197" customFormat="false" ht="15" hidden="false" customHeight="false" outlineLevel="0" collapsed="false">
      <c r="A197" s="7" t="n">
        <v>196</v>
      </c>
      <c r="B197" s="7" t="s">
        <v>28</v>
      </c>
      <c r="C197" s="7" t="n">
        <v>121</v>
      </c>
      <c r="D197" s="7" t="n">
        <v>16</v>
      </c>
      <c r="E197" s="12" t="n">
        <f aca="false">VLOOKUP(D197,Cronograma!$A$5:$B$44,2,FALSE())</f>
        <v>46215</v>
      </c>
      <c r="F197" s="9" t="s">
        <v>16</v>
      </c>
    </row>
    <row r="198" customFormat="false" ht="15" hidden="false" customHeight="false" outlineLevel="0" collapsed="false">
      <c r="A198" s="7" t="n">
        <v>197</v>
      </c>
      <c r="B198" s="7" t="s">
        <v>28</v>
      </c>
      <c r="C198" s="7" t="n">
        <v>86</v>
      </c>
      <c r="D198" s="7" t="n">
        <v>16</v>
      </c>
      <c r="E198" s="12" t="n">
        <f aca="false">VLOOKUP(D198,Cronograma!$A$5:$B$44,2,FALSE())</f>
        <v>46215</v>
      </c>
      <c r="F198" s="9" t="s">
        <v>16</v>
      </c>
    </row>
    <row r="199" customFormat="false" ht="15" hidden="false" customHeight="false" outlineLevel="0" collapsed="false">
      <c r="A199" s="7" t="n">
        <v>198</v>
      </c>
      <c r="B199" s="7" t="s">
        <v>28</v>
      </c>
      <c r="C199" s="7" t="n">
        <v>57</v>
      </c>
      <c r="D199" s="7" t="n">
        <v>16</v>
      </c>
      <c r="E199" s="12" t="n">
        <f aca="false">VLOOKUP(D199,Cronograma!$A$5:$B$44,2,FALSE())</f>
        <v>46215</v>
      </c>
      <c r="F199" s="9" t="s">
        <v>16</v>
      </c>
    </row>
    <row r="200" customFormat="false" ht="15" hidden="false" customHeight="false" outlineLevel="0" collapsed="false">
      <c r="A200" s="7" t="n">
        <v>199</v>
      </c>
      <c r="B200" s="7" t="s">
        <v>28</v>
      </c>
      <c r="C200" s="7" t="n">
        <v>61</v>
      </c>
      <c r="D200" s="7" t="n">
        <v>16</v>
      </c>
      <c r="E200" s="12" t="n">
        <f aca="false">VLOOKUP(D200,Cronograma!$A$5:$B$44,2,FALSE())</f>
        <v>46215</v>
      </c>
      <c r="F200" s="9" t="s">
        <v>16</v>
      </c>
    </row>
    <row r="201" customFormat="false" ht="15" hidden="false" customHeight="false" outlineLevel="0" collapsed="false">
      <c r="A201" s="7" t="n">
        <v>200</v>
      </c>
      <c r="B201" s="7" t="s">
        <v>28</v>
      </c>
      <c r="C201" s="7" t="n">
        <v>70</v>
      </c>
      <c r="D201" s="7" t="n">
        <v>16</v>
      </c>
      <c r="E201" s="12" t="n">
        <f aca="false">VLOOKUP(D201,Cronograma!$A$5:$B$44,2,FALSE())</f>
        <v>46215</v>
      </c>
      <c r="F201" s="9" t="s">
        <v>16</v>
      </c>
    </row>
    <row r="202" customFormat="false" ht="15" hidden="false" customHeight="false" outlineLevel="0" collapsed="false">
      <c r="A202" s="7" t="n">
        <v>201</v>
      </c>
      <c r="B202" s="7" t="s">
        <v>28</v>
      </c>
      <c r="C202" s="7" t="n">
        <v>65</v>
      </c>
      <c r="D202" s="7" t="n">
        <v>17</v>
      </c>
      <c r="E202" s="12" t="n">
        <f aca="false">VLOOKUP(D202,Cronograma!$A$5:$B$44,2,FALSE())</f>
        <v>46216</v>
      </c>
      <c r="F202" s="9" t="s">
        <v>16</v>
      </c>
    </row>
    <row r="203" customFormat="false" ht="15" hidden="false" customHeight="false" outlineLevel="0" collapsed="false">
      <c r="A203" s="7" t="n">
        <v>202</v>
      </c>
      <c r="B203" s="7" t="s">
        <v>28</v>
      </c>
      <c r="C203" s="7" t="n">
        <v>66</v>
      </c>
      <c r="D203" s="7" t="n">
        <v>17</v>
      </c>
      <c r="E203" s="12" t="n">
        <f aca="false">VLOOKUP(D203,Cronograma!$A$5:$B$44,2,FALSE())</f>
        <v>46216</v>
      </c>
      <c r="F203" s="9" t="s">
        <v>16</v>
      </c>
    </row>
    <row r="204" customFormat="false" ht="15" hidden="false" customHeight="false" outlineLevel="0" collapsed="false">
      <c r="A204" s="7" t="n">
        <v>203</v>
      </c>
      <c r="B204" s="7" t="s">
        <v>28</v>
      </c>
      <c r="C204" s="7" t="n">
        <v>77</v>
      </c>
      <c r="D204" s="7" t="n">
        <v>17</v>
      </c>
      <c r="E204" s="12" t="n">
        <f aca="false">VLOOKUP(D204,Cronograma!$A$5:$B$44,2,FALSE())</f>
        <v>46216</v>
      </c>
      <c r="F204" s="9" t="s">
        <v>16</v>
      </c>
    </row>
    <row r="205" customFormat="false" ht="15" hidden="false" customHeight="false" outlineLevel="0" collapsed="false">
      <c r="A205" s="7" t="n">
        <v>204</v>
      </c>
      <c r="B205" s="7" t="s">
        <v>28</v>
      </c>
      <c r="C205" s="7" t="n">
        <v>77</v>
      </c>
      <c r="D205" s="7" t="n">
        <v>17</v>
      </c>
      <c r="E205" s="12" t="n">
        <f aca="false">VLOOKUP(D205,Cronograma!$A$5:$B$44,2,FALSE())</f>
        <v>46216</v>
      </c>
      <c r="F205" s="9" t="s">
        <v>16</v>
      </c>
    </row>
    <row r="206" customFormat="false" ht="15" hidden="false" customHeight="false" outlineLevel="0" collapsed="false">
      <c r="A206" s="7" t="n">
        <v>205</v>
      </c>
      <c r="B206" s="7" t="s">
        <v>28</v>
      </c>
      <c r="C206" s="7" t="n">
        <v>74</v>
      </c>
      <c r="D206" s="7" t="n">
        <v>17</v>
      </c>
      <c r="E206" s="12" t="n">
        <f aca="false">VLOOKUP(D206,Cronograma!$A$5:$B$44,2,FALSE())</f>
        <v>46216</v>
      </c>
      <c r="F206" s="9" t="s">
        <v>16</v>
      </c>
    </row>
    <row r="207" customFormat="false" ht="15" hidden="false" customHeight="false" outlineLevel="0" collapsed="false">
      <c r="A207" s="7" t="n">
        <v>206</v>
      </c>
      <c r="B207" s="7" t="s">
        <v>28</v>
      </c>
      <c r="C207" s="7" t="n">
        <v>83</v>
      </c>
      <c r="D207" s="7" t="n">
        <v>17</v>
      </c>
      <c r="E207" s="12" t="n">
        <f aca="false">VLOOKUP(D207,Cronograma!$A$5:$B$44,2,FALSE())</f>
        <v>46216</v>
      </c>
      <c r="F207" s="9" t="s">
        <v>16</v>
      </c>
    </row>
    <row r="208" customFormat="false" ht="15" hidden="false" customHeight="false" outlineLevel="0" collapsed="false">
      <c r="A208" s="7" t="n">
        <v>207</v>
      </c>
      <c r="B208" s="7" t="s">
        <v>28</v>
      </c>
      <c r="C208" s="7" t="n">
        <v>67</v>
      </c>
      <c r="D208" s="7" t="n">
        <v>18</v>
      </c>
      <c r="E208" s="12" t="n">
        <f aca="false">VLOOKUP(D208,Cronograma!$A$5:$B$44,2,FALSE())</f>
        <v>46217</v>
      </c>
      <c r="F208" s="9" t="s">
        <v>16</v>
      </c>
    </row>
    <row r="209" customFormat="false" ht="15" hidden="false" customHeight="false" outlineLevel="0" collapsed="false">
      <c r="A209" s="7" t="n">
        <v>208</v>
      </c>
      <c r="B209" s="7" t="s">
        <v>28</v>
      </c>
      <c r="C209" s="7" t="n">
        <v>61</v>
      </c>
      <c r="D209" s="7" t="n">
        <v>18</v>
      </c>
      <c r="E209" s="12" t="n">
        <f aca="false">VLOOKUP(D209,Cronograma!$A$5:$B$44,2,FALSE())</f>
        <v>46217</v>
      </c>
      <c r="F209" s="9" t="s">
        <v>16</v>
      </c>
    </row>
    <row r="210" customFormat="false" ht="15" hidden="false" customHeight="false" outlineLevel="0" collapsed="false">
      <c r="A210" s="7" t="n">
        <v>209</v>
      </c>
      <c r="B210" s="7" t="s">
        <v>28</v>
      </c>
      <c r="C210" s="7" t="n">
        <v>70</v>
      </c>
      <c r="D210" s="7" t="n">
        <v>18</v>
      </c>
      <c r="E210" s="12" t="n">
        <f aca="false">VLOOKUP(D210,Cronograma!$A$5:$B$44,2,FALSE())</f>
        <v>46217</v>
      </c>
      <c r="F210" s="9" t="s">
        <v>16</v>
      </c>
    </row>
    <row r="211" customFormat="false" ht="15" hidden="false" customHeight="false" outlineLevel="0" collapsed="false">
      <c r="A211" s="7" t="n">
        <v>210</v>
      </c>
      <c r="B211" s="7" t="s">
        <v>28</v>
      </c>
      <c r="C211" s="7" t="n">
        <v>63</v>
      </c>
      <c r="D211" s="7" t="n">
        <v>18</v>
      </c>
      <c r="E211" s="12" t="n">
        <f aca="false">VLOOKUP(D211,Cronograma!$A$5:$B$44,2,FALSE())</f>
        <v>46217</v>
      </c>
      <c r="F211" s="9" t="s">
        <v>16</v>
      </c>
    </row>
    <row r="212" customFormat="false" ht="15" hidden="false" customHeight="false" outlineLevel="0" collapsed="false">
      <c r="A212" s="7" t="n">
        <v>211</v>
      </c>
      <c r="B212" s="7" t="s">
        <v>28</v>
      </c>
      <c r="C212" s="7" t="n">
        <v>61</v>
      </c>
      <c r="D212" s="7" t="n">
        <v>18</v>
      </c>
      <c r="E212" s="12" t="n">
        <f aca="false">VLOOKUP(D212,Cronograma!$A$5:$B$44,2,FALSE())</f>
        <v>46217</v>
      </c>
      <c r="F212" s="9" t="s">
        <v>16</v>
      </c>
    </row>
    <row r="213" customFormat="false" ht="15" hidden="false" customHeight="false" outlineLevel="0" collapsed="false">
      <c r="A213" s="7" t="n">
        <v>212</v>
      </c>
      <c r="B213" s="7" t="s">
        <v>28</v>
      </c>
      <c r="C213" s="7" t="n">
        <v>64</v>
      </c>
      <c r="D213" s="7" t="n">
        <v>18</v>
      </c>
      <c r="E213" s="12" t="n">
        <f aca="false">VLOOKUP(D213,Cronograma!$A$5:$B$44,2,FALSE())</f>
        <v>46217</v>
      </c>
      <c r="F213" s="9" t="s">
        <v>16</v>
      </c>
    </row>
    <row r="214" customFormat="false" ht="15" hidden="false" customHeight="false" outlineLevel="0" collapsed="false">
      <c r="A214" s="7" t="n">
        <v>213</v>
      </c>
      <c r="B214" s="7" t="s">
        <v>28</v>
      </c>
      <c r="C214" s="7" t="n">
        <v>64</v>
      </c>
      <c r="D214" s="7" t="n">
        <v>19</v>
      </c>
      <c r="E214" s="12" t="n">
        <f aca="false">VLOOKUP(D214,Cronograma!$A$5:$B$44,2,FALSE())</f>
        <v>46218</v>
      </c>
      <c r="F214" s="9" t="s">
        <v>16</v>
      </c>
    </row>
    <row r="215" customFormat="false" ht="15" hidden="false" customHeight="false" outlineLevel="0" collapsed="false">
      <c r="A215" s="7" t="n">
        <v>214</v>
      </c>
      <c r="B215" s="7" t="s">
        <v>28</v>
      </c>
      <c r="C215" s="7" t="n">
        <v>76</v>
      </c>
      <c r="D215" s="7" t="n">
        <v>19</v>
      </c>
      <c r="E215" s="12" t="n">
        <f aca="false">VLOOKUP(D215,Cronograma!$A$5:$B$44,2,FALSE())</f>
        <v>46218</v>
      </c>
      <c r="F215" s="9" t="s">
        <v>16</v>
      </c>
    </row>
    <row r="216" customFormat="false" ht="15" hidden="false" customHeight="false" outlineLevel="0" collapsed="false">
      <c r="A216" s="7" t="n">
        <v>215</v>
      </c>
      <c r="B216" s="7" t="s">
        <v>28</v>
      </c>
      <c r="C216" s="7" t="n">
        <v>67</v>
      </c>
      <c r="D216" s="7" t="n">
        <v>19</v>
      </c>
      <c r="E216" s="12" t="n">
        <f aca="false">VLOOKUP(D216,Cronograma!$A$5:$B$44,2,FALSE())</f>
        <v>46218</v>
      </c>
      <c r="F216" s="9" t="s">
        <v>16</v>
      </c>
    </row>
    <row r="217" customFormat="false" ht="15" hidden="false" customHeight="false" outlineLevel="0" collapsed="false">
      <c r="A217" s="7" t="n">
        <v>216</v>
      </c>
      <c r="B217" s="7" t="s">
        <v>28</v>
      </c>
      <c r="C217" s="7" t="n">
        <v>67</v>
      </c>
      <c r="D217" s="7" t="n">
        <v>19</v>
      </c>
      <c r="E217" s="12" t="n">
        <f aca="false">VLOOKUP(D217,Cronograma!$A$5:$B$44,2,FALSE())</f>
        <v>46218</v>
      </c>
      <c r="F217" s="9" t="s">
        <v>16</v>
      </c>
    </row>
    <row r="218" customFormat="false" ht="15" hidden="false" customHeight="false" outlineLevel="0" collapsed="false">
      <c r="A218" s="7" t="n">
        <v>217</v>
      </c>
      <c r="B218" s="7" t="s">
        <v>28</v>
      </c>
      <c r="C218" s="7" t="n">
        <v>69</v>
      </c>
      <c r="D218" s="7" t="n">
        <v>19</v>
      </c>
      <c r="E218" s="12" t="n">
        <f aca="false">VLOOKUP(D218,Cronograma!$A$5:$B$44,2,FALSE())</f>
        <v>46218</v>
      </c>
      <c r="F218" s="9" t="s">
        <v>16</v>
      </c>
    </row>
    <row r="219" customFormat="false" ht="15" hidden="false" customHeight="false" outlineLevel="0" collapsed="false">
      <c r="A219" s="7" t="n">
        <v>218</v>
      </c>
      <c r="B219" s="7" t="s">
        <v>28</v>
      </c>
      <c r="C219" s="7" t="n">
        <v>71</v>
      </c>
      <c r="D219" s="7" t="n">
        <v>19</v>
      </c>
      <c r="E219" s="12" t="n">
        <f aca="false">VLOOKUP(D219,Cronograma!$A$5:$B$44,2,FALSE())</f>
        <v>46218</v>
      </c>
      <c r="F219" s="9" t="s">
        <v>16</v>
      </c>
    </row>
    <row r="220" customFormat="false" ht="15" hidden="false" customHeight="false" outlineLevel="0" collapsed="false">
      <c r="A220" s="7" t="n">
        <v>219</v>
      </c>
      <c r="B220" s="7" t="s">
        <v>28</v>
      </c>
      <c r="C220" s="7" t="n">
        <v>63</v>
      </c>
      <c r="D220" s="7" t="n">
        <v>20</v>
      </c>
      <c r="E220" s="12" t="n">
        <f aca="false">VLOOKUP(D220,Cronograma!$A$5:$B$44,2,FALSE())</f>
        <v>46219</v>
      </c>
      <c r="F220" s="9" t="s">
        <v>16</v>
      </c>
    </row>
    <row r="221" customFormat="false" ht="15" hidden="false" customHeight="false" outlineLevel="0" collapsed="false">
      <c r="A221" s="7" t="n">
        <v>220</v>
      </c>
      <c r="B221" s="7" t="s">
        <v>28</v>
      </c>
      <c r="C221" s="7" t="n">
        <v>76</v>
      </c>
      <c r="D221" s="7" t="n">
        <v>20</v>
      </c>
      <c r="E221" s="12" t="n">
        <f aca="false">VLOOKUP(D221,Cronograma!$A$5:$B$44,2,FALSE())</f>
        <v>46219</v>
      </c>
      <c r="F221" s="9" t="s">
        <v>16</v>
      </c>
    </row>
    <row r="222" customFormat="false" ht="15" hidden="false" customHeight="false" outlineLevel="0" collapsed="false">
      <c r="A222" s="7" t="n">
        <v>221</v>
      </c>
      <c r="B222" s="7" t="s">
        <v>28</v>
      </c>
      <c r="C222" s="7" t="n">
        <v>63</v>
      </c>
      <c r="D222" s="7" t="n">
        <v>20</v>
      </c>
      <c r="E222" s="12" t="n">
        <f aca="false">VLOOKUP(D222,Cronograma!$A$5:$B$44,2,FALSE())</f>
        <v>46219</v>
      </c>
      <c r="F222" s="9" t="s">
        <v>16</v>
      </c>
    </row>
    <row r="223" customFormat="false" ht="15" hidden="false" customHeight="false" outlineLevel="0" collapsed="false">
      <c r="A223" s="7" t="n">
        <v>222</v>
      </c>
      <c r="B223" s="7" t="s">
        <v>28</v>
      </c>
      <c r="C223" s="7" t="n">
        <v>58</v>
      </c>
      <c r="D223" s="7" t="n">
        <v>20</v>
      </c>
      <c r="E223" s="12" t="n">
        <f aca="false">VLOOKUP(D223,Cronograma!$A$5:$B$44,2,FALSE())</f>
        <v>46219</v>
      </c>
      <c r="F223" s="9" t="s">
        <v>16</v>
      </c>
    </row>
    <row r="224" customFormat="false" ht="15" hidden="false" customHeight="false" outlineLevel="0" collapsed="false">
      <c r="A224" s="7" t="n">
        <v>223</v>
      </c>
      <c r="B224" s="7" t="s">
        <v>28</v>
      </c>
      <c r="C224" s="7" t="n">
        <v>61</v>
      </c>
      <c r="D224" s="7" t="n">
        <v>20</v>
      </c>
      <c r="E224" s="12" t="n">
        <f aca="false">VLOOKUP(D224,Cronograma!$A$5:$B$44,2,FALSE())</f>
        <v>46219</v>
      </c>
      <c r="F224" s="9" t="s">
        <v>16</v>
      </c>
    </row>
    <row r="225" customFormat="false" ht="15" hidden="false" customHeight="false" outlineLevel="0" collapsed="false">
      <c r="A225" s="7" t="n">
        <v>224</v>
      </c>
      <c r="B225" s="7" t="s">
        <v>28</v>
      </c>
      <c r="C225" s="7" t="n">
        <v>66</v>
      </c>
      <c r="D225" s="7" t="n">
        <v>20</v>
      </c>
      <c r="E225" s="12" t="n">
        <f aca="false">VLOOKUP(D225,Cronograma!$A$5:$B$44,2,FALSE())</f>
        <v>46219</v>
      </c>
      <c r="F225" s="9" t="s">
        <v>16</v>
      </c>
    </row>
    <row r="226" customFormat="false" ht="15" hidden="false" customHeight="false" outlineLevel="0" collapsed="false">
      <c r="A226" s="7" t="n">
        <v>225</v>
      </c>
      <c r="B226" s="7" t="s">
        <v>28</v>
      </c>
      <c r="C226" s="7" t="n">
        <v>47</v>
      </c>
      <c r="D226" s="7" t="n">
        <v>21</v>
      </c>
      <c r="E226" s="12" t="n">
        <f aca="false">VLOOKUP(D226,Cronograma!$A$5:$B$44,2,FALSE())</f>
        <v>46220</v>
      </c>
      <c r="F226" s="9" t="s">
        <v>16</v>
      </c>
    </row>
    <row r="227" customFormat="false" ht="15" hidden="false" customHeight="false" outlineLevel="0" collapsed="false">
      <c r="A227" s="7" t="n">
        <v>226</v>
      </c>
      <c r="B227" s="7" t="s">
        <v>28</v>
      </c>
      <c r="C227" s="7" t="n">
        <v>62</v>
      </c>
      <c r="D227" s="7" t="n">
        <v>21</v>
      </c>
      <c r="E227" s="12" t="n">
        <f aca="false">VLOOKUP(D227,Cronograma!$A$5:$B$44,2,FALSE())</f>
        <v>46220</v>
      </c>
      <c r="F227" s="9" t="s">
        <v>16</v>
      </c>
    </row>
    <row r="228" customFormat="false" ht="15" hidden="false" customHeight="false" outlineLevel="0" collapsed="false">
      <c r="A228" s="7" t="n">
        <v>227</v>
      </c>
      <c r="B228" s="7" t="s">
        <v>28</v>
      </c>
      <c r="C228" s="7" t="n">
        <v>65</v>
      </c>
      <c r="D228" s="7" t="n">
        <v>21</v>
      </c>
      <c r="E228" s="12" t="n">
        <f aca="false">VLOOKUP(D228,Cronograma!$A$5:$B$44,2,FALSE())</f>
        <v>46220</v>
      </c>
      <c r="F228" s="9" t="s">
        <v>16</v>
      </c>
    </row>
    <row r="229" customFormat="false" ht="15" hidden="false" customHeight="false" outlineLevel="0" collapsed="false">
      <c r="A229" s="7" t="n">
        <v>228</v>
      </c>
      <c r="B229" s="7" t="s">
        <v>28</v>
      </c>
      <c r="C229" s="7" t="n">
        <v>49</v>
      </c>
      <c r="D229" s="7" t="n">
        <v>21</v>
      </c>
      <c r="E229" s="12" t="n">
        <f aca="false">VLOOKUP(D229,Cronograma!$A$5:$B$44,2,FALSE())</f>
        <v>46220</v>
      </c>
      <c r="F229" s="9" t="s">
        <v>16</v>
      </c>
    </row>
    <row r="230" customFormat="false" ht="15" hidden="false" customHeight="false" outlineLevel="0" collapsed="false">
      <c r="A230" s="7" t="n">
        <v>229</v>
      </c>
      <c r="B230" s="7" t="s">
        <v>28</v>
      </c>
      <c r="C230" s="7" t="n">
        <v>63</v>
      </c>
      <c r="D230" s="7" t="n">
        <v>21</v>
      </c>
      <c r="E230" s="12" t="n">
        <f aca="false">VLOOKUP(D230,Cronograma!$A$5:$B$44,2,FALSE())</f>
        <v>46220</v>
      </c>
      <c r="F230" s="9" t="s">
        <v>16</v>
      </c>
    </row>
    <row r="231" customFormat="false" ht="15" hidden="false" customHeight="false" outlineLevel="0" collapsed="false">
      <c r="A231" s="7" t="n">
        <v>230</v>
      </c>
      <c r="B231" s="7" t="s">
        <v>28</v>
      </c>
      <c r="C231" s="7" t="n">
        <v>60</v>
      </c>
      <c r="D231" s="7" t="n">
        <v>21</v>
      </c>
      <c r="E231" s="12" t="n">
        <f aca="false">VLOOKUP(D231,Cronograma!$A$5:$B$44,2,FALSE())</f>
        <v>46220</v>
      </c>
      <c r="F231" s="9" t="s">
        <v>16</v>
      </c>
    </row>
    <row r="232" customFormat="false" ht="15" hidden="false" customHeight="false" outlineLevel="0" collapsed="false">
      <c r="A232" s="7" t="n">
        <v>231</v>
      </c>
      <c r="B232" s="7" t="s">
        <v>28</v>
      </c>
      <c r="C232" s="7" t="n">
        <v>49</v>
      </c>
      <c r="D232" s="7" t="n">
        <v>21</v>
      </c>
      <c r="E232" s="12" t="n">
        <f aca="false">VLOOKUP(D232,Cronograma!$A$5:$B$44,2,FALSE())</f>
        <v>46220</v>
      </c>
      <c r="F232" s="9" t="s">
        <v>16</v>
      </c>
    </row>
    <row r="233" customFormat="false" ht="15" hidden="false" customHeight="false" outlineLevel="0" collapsed="false">
      <c r="A233" s="7" t="n">
        <v>232</v>
      </c>
      <c r="B233" s="7" t="s">
        <v>28</v>
      </c>
      <c r="C233" s="7" t="n">
        <v>59</v>
      </c>
      <c r="D233" s="7" t="n">
        <v>22</v>
      </c>
      <c r="E233" s="12" t="n">
        <f aca="false">VLOOKUP(D233,Cronograma!$A$5:$B$44,2,FALSE())</f>
        <v>46221</v>
      </c>
      <c r="F233" s="9" t="s">
        <v>16</v>
      </c>
    </row>
    <row r="234" customFormat="false" ht="15" hidden="false" customHeight="false" outlineLevel="0" collapsed="false">
      <c r="A234" s="7" t="n">
        <v>233</v>
      </c>
      <c r="B234" s="7" t="s">
        <v>28</v>
      </c>
      <c r="C234" s="7" t="n">
        <v>59</v>
      </c>
      <c r="D234" s="7" t="n">
        <v>22</v>
      </c>
      <c r="E234" s="12" t="n">
        <f aca="false">VLOOKUP(D234,Cronograma!$A$5:$B$44,2,FALSE())</f>
        <v>46221</v>
      </c>
      <c r="F234" s="9" t="s">
        <v>16</v>
      </c>
    </row>
    <row r="235" customFormat="false" ht="15" hidden="false" customHeight="false" outlineLevel="0" collapsed="false">
      <c r="A235" s="7" t="n">
        <v>234</v>
      </c>
      <c r="B235" s="7" t="s">
        <v>28</v>
      </c>
      <c r="C235" s="7" t="n">
        <v>64</v>
      </c>
      <c r="D235" s="7" t="n">
        <v>22</v>
      </c>
      <c r="E235" s="12" t="n">
        <f aca="false">VLOOKUP(D235,Cronograma!$A$5:$B$44,2,FALSE())</f>
        <v>46221</v>
      </c>
      <c r="F235" s="9" t="s">
        <v>16</v>
      </c>
    </row>
    <row r="236" customFormat="false" ht="15" hidden="false" customHeight="false" outlineLevel="0" collapsed="false">
      <c r="A236" s="7" t="n">
        <v>235</v>
      </c>
      <c r="B236" s="7" t="s">
        <v>28</v>
      </c>
      <c r="C236" s="7" t="n">
        <v>45</v>
      </c>
      <c r="D236" s="7" t="n">
        <v>22</v>
      </c>
      <c r="E236" s="12" t="n">
        <f aca="false">VLOOKUP(D236,Cronograma!$A$5:$B$44,2,FALSE())</f>
        <v>46221</v>
      </c>
      <c r="F236" s="9" t="s">
        <v>16</v>
      </c>
    </row>
    <row r="237" customFormat="false" ht="15" hidden="false" customHeight="false" outlineLevel="0" collapsed="false">
      <c r="A237" s="7" t="n">
        <v>236</v>
      </c>
      <c r="B237" s="7" t="s">
        <v>28</v>
      </c>
      <c r="C237" s="7" t="n">
        <v>64</v>
      </c>
      <c r="D237" s="7" t="n">
        <v>22</v>
      </c>
      <c r="E237" s="12" t="n">
        <f aca="false">VLOOKUP(D237,Cronograma!$A$5:$B$44,2,FALSE())</f>
        <v>46221</v>
      </c>
      <c r="F237" s="9" t="s">
        <v>16</v>
      </c>
    </row>
    <row r="238" customFormat="false" ht="15" hidden="false" customHeight="false" outlineLevel="0" collapsed="false">
      <c r="A238" s="7" t="n">
        <v>237</v>
      </c>
      <c r="B238" s="7" t="s">
        <v>28</v>
      </c>
      <c r="C238" s="7" t="n">
        <v>64</v>
      </c>
      <c r="D238" s="7" t="n">
        <v>22</v>
      </c>
      <c r="E238" s="12" t="n">
        <f aca="false">VLOOKUP(D238,Cronograma!$A$5:$B$44,2,FALSE())</f>
        <v>46221</v>
      </c>
      <c r="F238" s="9" t="s">
        <v>16</v>
      </c>
    </row>
    <row r="239" customFormat="false" ht="15" hidden="false" customHeight="false" outlineLevel="0" collapsed="false">
      <c r="A239" s="7" t="n">
        <v>238</v>
      </c>
      <c r="B239" s="7" t="s">
        <v>28</v>
      </c>
      <c r="C239" s="7" t="n">
        <v>66</v>
      </c>
      <c r="D239" s="7" t="n">
        <v>22</v>
      </c>
      <c r="E239" s="12" t="n">
        <f aca="false">VLOOKUP(D239,Cronograma!$A$5:$B$44,2,FALSE())</f>
        <v>46221</v>
      </c>
      <c r="F239" s="9" t="s">
        <v>16</v>
      </c>
    </row>
    <row r="240" customFormat="false" ht="15" hidden="false" customHeight="false" outlineLevel="0" collapsed="false">
      <c r="A240" s="7" t="n">
        <v>239</v>
      </c>
      <c r="B240" s="7" t="s">
        <v>28</v>
      </c>
      <c r="C240" s="7" t="n">
        <v>60</v>
      </c>
      <c r="D240" s="7" t="n">
        <v>23</v>
      </c>
      <c r="E240" s="12" t="n">
        <f aca="false">VLOOKUP(D240,Cronograma!$A$5:$B$44,2,FALSE())</f>
        <v>46222</v>
      </c>
      <c r="F240" s="9" t="s">
        <v>16</v>
      </c>
    </row>
    <row r="241" customFormat="false" ht="15" hidden="false" customHeight="false" outlineLevel="0" collapsed="false">
      <c r="A241" s="7" t="n">
        <v>240</v>
      </c>
      <c r="B241" s="7" t="s">
        <v>28</v>
      </c>
      <c r="C241" s="7" t="n">
        <v>72</v>
      </c>
      <c r="D241" s="7" t="n">
        <v>23</v>
      </c>
      <c r="E241" s="12" t="n">
        <f aca="false">VLOOKUP(D241,Cronograma!$A$5:$B$44,2,FALSE())</f>
        <v>46222</v>
      </c>
      <c r="F241" s="9" t="s">
        <v>16</v>
      </c>
    </row>
    <row r="242" customFormat="false" ht="15" hidden="false" customHeight="false" outlineLevel="0" collapsed="false">
      <c r="A242" s="7" t="n">
        <v>241</v>
      </c>
      <c r="B242" s="7" t="s">
        <v>28</v>
      </c>
      <c r="C242" s="7" t="n">
        <v>69</v>
      </c>
      <c r="D242" s="7" t="n">
        <v>23</v>
      </c>
      <c r="E242" s="12" t="n">
        <f aca="false">VLOOKUP(D242,Cronograma!$A$5:$B$44,2,FALSE())</f>
        <v>46222</v>
      </c>
      <c r="F242" s="9" t="s">
        <v>16</v>
      </c>
    </row>
    <row r="243" customFormat="false" ht="15" hidden="false" customHeight="false" outlineLevel="0" collapsed="false">
      <c r="A243" s="7" t="n">
        <v>242</v>
      </c>
      <c r="B243" s="7" t="s">
        <v>28</v>
      </c>
      <c r="C243" s="7" t="n">
        <v>74</v>
      </c>
      <c r="D243" s="7" t="n">
        <v>23</v>
      </c>
      <c r="E243" s="12" t="n">
        <f aca="false">VLOOKUP(D243,Cronograma!$A$5:$B$44,2,FALSE())</f>
        <v>46222</v>
      </c>
      <c r="F243" s="9" t="s">
        <v>16</v>
      </c>
    </row>
    <row r="244" customFormat="false" ht="15" hidden="false" customHeight="false" outlineLevel="0" collapsed="false">
      <c r="A244" s="7" t="n">
        <v>243</v>
      </c>
      <c r="B244" s="7" t="s">
        <v>28</v>
      </c>
      <c r="C244" s="7" t="n">
        <v>70</v>
      </c>
      <c r="D244" s="7" t="n">
        <v>23</v>
      </c>
      <c r="E244" s="12" t="n">
        <f aca="false">VLOOKUP(D244,Cronograma!$A$5:$B$44,2,FALSE())</f>
        <v>46222</v>
      </c>
      <c r="F244" s="9" t="s">
        <v>16</v>
      </c>
    </row>
    <row r="245" customFormat="false" ht="15" hidden="false" customHeight="false" outlineLevel="0" collapsed="false">
      <c r="A245" s="7" t="n">
        <v>244</v>
      </c>
      <c r="B245" s="7" t="s">
        <v>28</v>
      </c>
      <c r="C245" s="7" t="n">
        <v>62</v>
      </c>
      <c r="D245" s="7" t="n">
        <v>23</v>
      </c>
      <c r="E245" s="12" t="n">
        <f aca="false">VLOOKUP(D245,Cronograma!$A$5:$B$44,2,FALSE())</f>
        <v>46222</v>
      </c>
      <c r="F245" s="9" t="s">
        <v>16</v>
      </c>
    </row>
    <row r="246" customFormat="false" ht="15" hidden="false" customHeight="false" outlineLevel="0" collapsed="false">
      <c r="A246" s="7" t="n">
        <v>245</v>
      </c>
      <c r="B246" s="7" t="s">
        <v>28</v>
      </c>
      <c r="C246" s="7" t="n">
        <v>68</v>
      </c>
      <c r="D246" s="7" t="n">
        <v>24</v>
      </c>
      <c r="E246" s="12" t="n">
        <f aca="false">VLOOKUP(D246,Cronograma!$A$5:$B$44,2,FALSE())</f>
        <v>46223</v>
      </c>
      <c r="F246" s="9" t="s">
        <v>16</v>
      </c>
    </row>
    <row r="247" customFormat="false" ht="15" hidden="false" customHeight="false" outlineLevel="0" collapsed="false">
      <c r="A247" s="7" t="n">
        <v>246</v>
      </c>
      <c r="B247" s="7" t="s">
        <v>28</v>
      </c>
      <c r="C247" s="7" t="n">
        <v>62</v>
      </c>
      <c r="D247" s="7" t="n">
        <v>24</v>
      </c>
      <c r="E247" s="12" t="n">
        <f aca="false">VLOOKUP(D247,Cronograma!$A$5:$B$44,2,FALSE())</f>
        <v>46223</v>
      </c>
      <c r="F247" s="9" t="s">
        <v>16</v>
      </c>
    </row>
    <row r="248" customFormat="false" ht="15" hidden="false" customHeight="false" outlineLevel="0" collapsed="false">
      <c r="A248" s="7" t="n">
        <v>247</v>
      </c>
      <c r="B248" s="7" t="s">
        <v>28</v>
      </c>
      <c r="C248" s="7" t="n">
        <v>69</v>
      </c>
      <c r="D248" s="7" t="n">
        <v>24</v>
      </c>
      <c r="E248" s="12" t="n">
        <f aca="false">VLOOKUP(D248,Cronograma!$A$5:$B$44,2,FALSE())</f>
        <v>46223</v>
      </c>
      <c r="F248" s="9" t="s">
        <v>16</v>
      </c>
    </row>
    <row r="249" customFormat="false" ht="15" hidden="false" customHeight="false" outlineLevel="0" collapsed="false">
      <c r="A249" s="7" t="n">
        <v>248</v>
      </c>
      <c r="B249" s="7" t="s">
        <v>28</v>
      </c>
      <c r="C249" s="7" t="n">
        <v>82</v>
      </c>
      <c r="D249" s="7" t="n">
        <v>24</v>
      </c>
      <c r="E249" s="12" t="n">
        <f aca="false">VLOOKUP(D249,Cronograma!$A$5:$B$44,2,FALSE())</f>
        <v>46223</v>
      </c>
      <c r="F249" s="9" t="s">
        <v>16</v>
      </c>
    </row>
    <row r="250" customFormat="false" ht="15" hidden="false" customHeight="false" outlineLevel="0" collapsed="false">
      <c r="A250" s="7" t="n">
        <v>249</v>
      </c>
      <c r="B250" s="7" t="s">
        <v>28</v>
      </c>
      <c r="C250" s="7" t="n">
        <v>80</v>
      </c>
      <c r="D250" s="7" t="n">
        <v>24</v>
      </c>
      <c r="E250" s="12" t="n">
        <f aca="false">VLOOKUP(D250,Cronograma!$A$5:$B$44,2,FALSE())</f>
        <v>46223</v>
      </c>
      <c r="F250" s="9" t="s">
        <v>16</v>
      </c>
    </row>
    <row r="251" customFormat="false" ht="15" hidden="false" customHeight="false" outlineLevel="0" collapsed="false">
      <c r="A251" s="7" t="n">
        <v>250</v>
      </c>
      <c r="B251" s="7" t="s">
        <v>28</v>
      </c>
      <c r="C251" s="7" t="n">
        <v>103</v>
      </c>
      <c r="D251" s="7" t="n">
        <v>25</v>
      </c>
      <c r="E251" s="12" t="n">
        <f aca="false">VLOOKUP(D251,Cronograma!$A$5:$B$44,2,FALSE())</f>
        <v>46224</v>
      </c>
      <c r="F251" s="9" t="s">
        <v>16</v>
      </c>
    </row>
    <row r="252" customFormat="false" ht="15" hidden="false" customHeight="false" outlineLevel="0" collapsed="false">
      <c r="A252" s="7" t="n">
        <v>251</v>
      </c>
      <c r="B252" s="7" t="s">
        <v>28</v>
      </c>
      <c r="C252" s="7" t="n">
        <v>74</v>
      </c>
      <c r="D252" s="7" t="n">
        <v>25</v>
      </c>
      <c r="E252" s="12" t="n">
        <f aca="false">VLOOKUP(D252,Cronograma!$A$5:$B$44,2,FALSE())</f>
        <v>46224</v>
      </c>
      <c r="F252" s="9" t="s">
        <v>16</v>
      </c>
    </row>
    <row r="253" customFormat="false" ht="15" hidden="false" customHeight="false" outlineLevel="0" collapsed="false">
      <c r="A253" s="7" t="n">
        <v>252</v>
      </c>
      <c r="B253" s="7" t="s">
        <v>28</v>
      </c>
      <c r="C253" s="7" t="n">
        <v>68</v>
      </c>
      <c r="D253" s="7" t="n">
        <v>25</v>
      </c>
      <c r="E253" s="12" t="n">
        <f aca="false">VLOOKUP(D253,Cronograma!$A$5:$B$44,2,FALSE())</f>
        <v>46224</v>
      </c>
      <c r="F253" s="9" t="s">
        <v>16</v>
      </c>
    </row>
    <row r="254" customFormat="false" ht="15" hidden="false" customHeight="false" outlineLevel="0" collapsed="false">
      <c r="A254" s="7" t="n">
        <v>253</v>
      </c>
      <c r="B254" s="7" t="s">
        <v>28</v>
      </c>
      <c r="C254" s="7" t="n">
        <v>66</v>
      </c>
      <c r="D254" s="7" t="n">
        <v>25</v>
      </c>
      <c r="E254" s="12" t="n">
        <f aca="false">VLOOKUP(D254,Cronograma!$A$5:$B$44,2,FALSE())</f>
        <v>46224</v>
      </c>
      <c r="F254" s="9" t="s">
        <v>16</v>
      </c>
    </row>
    <row r="255" customFormat="false" ht="15" hidden="false" customHeight="false" outlineLevel="0" collapsed="false">
      <c r="A255" s="7" t="n">
        <v>254</v>
      </c>
      <c r="B255" s="7" t="s">
        <v>28</v>
      </c>
      <c r="C255" s="7" t="n">
        <v>67</v>
      </c>
      <c r="D255" s="7" t="n">
        <v>25</v>
      </c>
      <c r="E255" s="12" t="n">
        <f aca="false">VLOOKUP(D255,Cronograma!$A$5:$B$44,2,FALSE())</f>
        <v>46224</v>
      </c>
      <c r="F255" s="9" t="s">
        <v>16</v>
      </c>
    </row>
    <row r="256" customFormat="false" ht="15" hidden="false" customHeight="false" outlineLevel="0" collapsed="false">
      <c r="A256" s="7" t="n">
        <v>255</v>
      </c>
      <c r="B256" s="7" t="s">
        <v>28</v>
      </c>
      <c r="C256" s="7" t="n">
        <v>69</v>
      </c>
      <c r="D256" s="7" t="n">
        <v>26</v>
      </c>
      <c r="E256" s="12" t="n">
        <f aca="false">VLOOKUP(D256,Cronograma!$A$5:$B$44,2,FALSE())</f>
        <v>46225</v>
      </c>
      <c r="F256" s="9" t="s">
        <v>16</v>
      </c>
    </row>
    <row r="257" customFormat="false" ht="15" hidden="false" customHeight="false" outlineLevel="0" collapsed="false">
      <c r="A257" s="7" t="n">
        <v>256</v>
      </c>
      <c r="B257" s="7" t="s">
        <v>28</v>
      </c>
      <c r="C257" s="7" t="n">
        <v>73</v>
      </c>
      <c r="D257" s="7" t="n">
        <v>26</v>
      </c>
      <c r="E257" s="12" t="n">
        <f aca="false">VLOOKUP(D257,Cronograma!$A$5:$B$44,2,FALSE())</f>
        <v>46225</v>
      </c>
      <c r="F257" s="9" t="s">
        <v>16</v>
      </c>
    </row>
    <row r="258" customFormat="false" ht="15" hidden="false" customHeight="false" outlineLevel="0" collapsed="false">
      <c r="A258" s="7" t="n">
        <v>257</v>
      </c>
      <c r="B258" s="7" t="s">
        <v>28</v>
      </c>
      <c r="C258" s="7" t="n">
        <v>77</v>
      </c>
      <c r="D258" s="7" t="n">
        <v>26</v>
      </c>
      <c r="E258" s="12" t="n">
        <f aca="false">VLOOKUP(D258,Cronograma!$A$5:$B$44,2,FALSE())</f>
        <v>46225</v>
      </c>
      <c r="F258" s="9" t="s">
        <v>16</v>
      </c>
    </row>
    <row r="259" customFormat="false" ht="15" hidden="false" customHeight="false" outlineLevel="0" collapsed="false">
      <c r="A259" s="7" t="n">
        <v>258</v>
      </c>
      <c r="B259" s="7" t="s">
        <v>28</v>
      </c>
      <c r="C259" s="7" t="n">
        <v>77</v>
      </c>
      <c r="D259" s="7" t="n">
        <v>26</v>
      </c>
      <c r="E259" s="12" t="n">
        <f aca="false">VLOOKUP(D259,Cronograma!$A$5:$B$44,2,FALSE())</f>
        <v>46225</v>
      </c>
      <c r="F259" s="9" t="s">
        <v>16</v>
      </c>
    </row>
    <row r="260" customFormat="false" ht="15" hidden="false" customHeight="false" outlineLevel="0" collapsed="false">
      <c r="A260" s="7" t="n">
        <v>259</v>
      </c>
      <c r="B260" s="7" t="s">
        <v>28</v>
      </c>
      <c r="C260" s="7" t="n">
        <v>86</v>
      </c>
      <c r="D260" s="7" t="n">
        <v>26</v>
      </c>
      <c r="E260" s="12" t="n">
        <f aca="false">VLOOKUP(D260,Cronograma!$A$5:$B$44,2,FALSE())</f>
        <v>46225</v>
      </c>
      <c r="F260" s="9" t="s">
        <v>16</v>
      </c>
    </row>
    <row r="261" customFormat="false" ht="15" hidden="false" customHeight="false" outlineLevel="0" collapsed="false">
      <c r="A261" s="7" t="n">
        <v>260</v>
      </c>
      <c r="B261" s="7" t="s">
        <v>28</v>
      </c>
      <c r="C261" s="7" t="n">
        <v>76</v>
      </c>
      <c r="D261" s="7" t="n">
        <v>27</v>
      </c>
      <c r="E261" s="12" t="n">
        <f aca="false">VLOOKUP(D261,Cronograma!$A$5:$B$44,2,FALSE())</f>
        <v>46226</v>
      </c>
      <c r="F261" s="9" t="s">
        <v>16</v>
      </c>
    </row>
    <row r="262" customFormat="false" ht="15" hidden="false" customHeight="false" outlineLevel="0" collapsed="false">
      <c r="A262" s="7" t="n">
        <v>261</v>
      </c>
      <c r="B262" s="7" t="s">
        <v>28</v>
      </c>
      <c r="C262" s="7" t="n">
        <v>72</v>
      </c>
      <c r="D262" s="7" t="n">
        <v>27</v>
      </c>
      <c r="E262" s="12" t="n">
        <f aca="false">VLOOKUP(D262,Cronograma!$A$5:$B$44,2,FALSE())</f>
        <v>46226</v>
      </c>
      <c r="F262" s="9" t="s">
        <v>16</v>
      </c>
    </row>
    <row r="263" customFormat="false" ht="15" hidden="false" customHeight="false" outlineLevel="0" collapsed="false">
      <c r="A263" s="7" t="n">
        <v>262</v>
      </c>
      <c r="B263" s="7" t="s">
        <v>28</v>
      </c>
      <c r="C263" s="7" t="n">
        <v>101</v>
      </c>
      <c r="D263" s="7" t="n">
        <v>27</v>
      </c>
      <c r="E263" s="12" t="n">
        <f aca="false">VLOOKUP(D263,Cronograma!$A$5:$B$44,2,FALSE())</f>
        <v>46226</v>
      </c>
      <c r="F263" s="9" t="s">
        <v>16</v>
      </c>
    </row>
    <row r="264" customFormat="false" ht="15" hidden="false" customHeight="false" outlineLevel="0" collapsed="false">
      <c r="A264" s="7" t="n">
        <v>263</v>
      </c>
      <c r="B264" s="7" t="s">
        <v>28</v>
      </c>
      <c r="C264" s="7" t="n">
        <v>65</v>
      </c>
      <c r="D264" s="7" t="n">
        <v>27</v>
      </c>
      <c r="E264" s="12" t="n">
        <f aca="false">VLOOKUP(D264,Cronograma!$A$5:$B$44,2,FALSE())</f>
        <v>46226</v>
      </c>
      <c r="F264" s="9" t="s">
        <v>16</v>
      </c>
    </row>
    <row r="265" customFormat="false" ht="15" hidden="false" customHeight="false" outlineLevel="0" collapsed="false">
      <c r="A265" s="7" t="n">
        <v>264</v>
      </c>
      <c r="B265" s="7" t="s">
        <v>28</v>
      </c>
      <c r="C265" s="7" t="n">
        <v>66</v>
      </c>
      <c r="D265" s="7" t="n">
        <v>27</v>
      </c>
      <c r="E265" s="12" t="n">
        <f aca="false">VLOOKUP(D265,Cronograma!$A$5:$B$44,2,FALSE())</f>
        <v>46226</v>
      </c>
      <c r="F265" s="9" t="s">
        <v>16</v>
      </c>
    </row>
    <row r="266" customFormat="false" ht="15" hidden="false" customHeight="false" outlineLevel="0" collapsed="false">
      <c r="A266" s="7" t="n">
        <v>265</v>
      </c>
      <c r="B266" s="7" t="s">
        <v>28</v>
      </c>
      <c r="C266" s="7" t="n">
        <v>86</v>
      </c>
      <c r="D266" s="7" t="n">
        <v>28</v>
      </c>
      <c r="E266" s="12" t="n">
        <f aca="false">VLOOKUP(D266,Cronograma!$A$5:$B$44,2,FALSE())</f>
        <v>46227</v>
      </c>
      <c r="F266" s="9" t="s">
        <v>16</v>
      </c>
    </row>
    <row r="267" customFormat="false" ht="15" hidden="false" customHeight="false" outlineLevel="0" collapsed="false">
      <c r="A267" s="7" t="n">
        <v>266</v>
      </c>
      <c r="B267" s="7" t="s">
        <v>28</v>
      </c>
      <c r="C267" s="7" t="n">
        <v>86</v>
      </c>
      <c r="D267" s="7" t="n">
        <v>28</v>
      </c>
      <c r="E267" s="12" t="n">
        <f aca="false">VLOOKUP(D267,Cronograma!$A$5:$B$44,2,FALSE())</f>
        <v>46227</v>
      </c>
      <c r="F267" s="9" t="s">
        <v>16</v>
      </c>
    </row>
    <row r="268" customFormat="false" ht="15" hidden="false" customHeight="false" outlineLevel="0" collapsed="false">
      <c r="A268" s="7" t="n">
        <v>267</v>
      </c>
      <c r="B268" s="7" t="s">
        <v>28</v>
      </c>
      <c r="C268" s="7" t="n">
        <v>83</v>
      </c>
      <c r="D268" s="7" t="n">
        <v>28</v>
      </c>
      <c r="E268" s="12" t="n">
        <f aca="false">VLOOKUP(D268,Cronograma!$A$5:$B$44,2,FALSE())</f>
        <v>46227</v>
      </c>
      <c r="F268" s="9" t="s">
        <v>16</v>
      </c>
    </row>
    <row r="269" customFormat="false" ht="15" hidden="false" customHeight="false" outlineLevel="0" collapsed="false">
      <c r="A269" s="7" t="n">
        <v>268</v>
      </c>
      <c r="B269" s="7" t="s">
        <v>28</v>
      </c>
      <c r="C269" s="7" t="n">
        <v>64</v>
      </c>
      <c r="D269" s="7" t="n">
        <v>28</v>
      </c>
      <c r="E269" s="12" t="n">
        <f aca="false">VLOOKUP(D269,Cronograma!$A$5:$B$44,2,FALSE())</f>
        <v>46227</v>
      </c>
      <c r="F269" s="9" t="s">
        <v>16</v>
      </c>
    </row>
    <row r="270" customFormat="false" ht="15" hidden="false" customHeight="false" outlineLevel="0" collapsed="false">
      <c r="A270" s="7" t="n">
        <v>269</v>
      </c>
      <c r="B270" s="7" t="s">
        <v>28</v>
      </c>
      <c r="C270" s="7" t="n">
        <v>74</v>
      </c>
      <c r="D270" s="7" t="n">
        <v>28</v>
      </c>
      <c r="E270" s="12" t="n">
        <f aca="false">VLOOKUP(D270,Cronograma!$A$5:$B$44,2,FALSE())</f>
        <v>46227</v>
      </c>
      <c r="F270" s="9" t="s">
        <v>16</v>
      </c>
    </row>
    <row r="271" customFormat="false" ht="15" hidden="false" customHeight="false" outlineLevel="0" collapsed="false">
      <c r="A271" s="7" t="n">
        <v>270</v>
      </c>
      <c r="B271" s="7" t="s">
        <v>28</v>
      </c>
      <c r="C271" s="7" t="n">
        <v>76</v>
      </c>
      <c r="D271" s="7" t="n">
        <v>29</v>
      </c>
      <c r="E271" s="12" t="n">
        <f aca="false">VLOOKUP(D271,Cronograma!$A$5:$B$44,2,FALSE())</f>
        <v>46228</v>
      </c>
      <c r="F271" s="9" t="s">
        <v>16</v>
      </c>
    </row>
    <row r="272" customFormat="false" ht="15" hidden="false" customHeight="false" outlineLevel="0" collapsed="false">
      <c r="A272" s="7" t="n">
        <v>271</v>
      </c>
      <c r="B272" s="7" t="s">
        <v>28</v>
      </c>
      <c r="C272" s="7" t="n">
        <v>58</v>
      </c>
      <c r="D272" s="7" t="n">
        <v>29</v>
      </c>
      <c r="E272" s="12" t="n">
        <f aca="false">VLOOKUP(D272,Cronograma!$A$5:$B$44,2,FALSE())</f>
        <v>46228</v>
      </c>
      <c r="F272" s="9" t="s">
        <v>16</v>
      </c>
    </row>
    <row r="273" customFormat="false" ht="15" hidden="false" customHeight="false" outlineLevel="0" collapsed="false">
      <c r="A273" s="7" t="n">
        <v>272</v>
      </c>
      <c r="B273" s="7" t="s">
        <v>28</v>
      </c>
      <c r="C273" s="7" t="n">
        <v>70</v>
      </c>
      <c r="D273" s="7" t="n">
        <v>29</v>
      </c>
      <c r="E273" s="12" t="n">
        <f aca="false">VLOOKUP(D273,Cronograma!$A$5:$B$44,2,FALSE())</f>
        <v>46228</v>
      </c>
      <c r="F273" s="9" t="s">
        <v>16</v>
      </c>
    </row>
    <row r="274" customFormat="false" ht="15" hidden="false" customHeight="false" outlineLevel="0" collapsed="false">
      <c r="A274" s="7" t="n">
        <v>273</v>
      </c>
      <c r="B274" s="7" t="s">
        <v>28</v>
      </c>
      <c r="C274" s="7" t="n">
        <v>78</v>
      </c>
      <c r="D274" s="7" t="n">
        <v>29</v>
      </c>
      <c r="E274" s="12" t="n">
        <f aca="false">VLOOKUP(D274,Cronograma!$A$5:$B$44,2,FALSE())</f>
        <v>46228</v>
      </c>
      <c r="F274" s="9" t="s">
        <v>16</v>
      </c>
    </row>
    <row r="275" customFormat="false" ht="15" hidden="false" customHeight="false" outlineLevel="0" collapsed="false">
      <c r="A275" s="7" t="n">
        <v>274</v>
      </c>
      <c r="B275" s="7" t="s">
        <v>28</v>
      </c>
      <c r="C275" s="7" t="n">
        <v>70</v>
      </c>
      <c r="D275" s="7" t="n">
        <v>29</v>
      </c>
      <c r="E275" s="12" t="n">
        <f aca="false">VLOOKUP(D275,Cronograma!$A$5:$B$44,2,FALSE())</f>
        <v>46228</v>
      </c>
      <c r="F275" s="9" t="s">
        <v>16</v>
      </c>
    </row>
    <row r="276" customFormat="false" ht="15" hidden="false" customHeight="false" outlineLevel="0" collapsed="false">
      <c r="A276" s="7" t="n">
        <v>275</v>
      </c>
      <c r="B276" s="7" t="s">
        <v>28</v>
      </c>
      <c r="C276" s="7" t="n">
        <v>59</v>
      </c>
      <c r="D276" s="7" t="n">
        <v>29</v>
      </c>
      <c r="E276" s="12" t="n">
        <f aca="false">VLOOKUP(D276,Cronograma!$A$5:$B$44,2,FALSE())</f>
        <v>46228</v>
      </c>
      <c r="F276" s="9" t="s">
        <v>16</v>
      </c>
    </row>
    <row r="277" customFormat="false" ht="15" hidden="false" customHeight="false" outlineLevel="0" collapsed="false">
      <c r="A277" s="7" t="n">
        <v>276</v>
      </c>
      <c r="B277" s="7" t="s">
        <v>28</v>
      </c>
      <c r="C277" s="7" t="n">
        <v>70</v>
      </c>
      <c r="D277" s="7" t="n">
        <v>30</v>
      </c>
      <c r="E277" s="12" t="n">
        <f aca="false">VLOOKUP(D277,Cronograma!$A$5:$B$44,2,FALSE())</f>
        <v>46229</v>
      </c>
      <c r="F277" s="9" t="s">
        <v>16</v>
      </c>
    </row>
    <row r="278" customFormat="false" ht="15" hidden="false" customHeight="false" outlineLevel="0" collapsed="false">
      <c r="A278" s="7" t="n">
        <v>277</v>
      </c>
      <c r="B278" s="7" t="s">
        <v>28</v>
      </c>
      <c r="C278" s="7" t="n">
        <v>105</v>
      </c>
      <c r="D278" s="7" t="n">
        <v>30</v>
      </c>
      <c r="E278" s="12" t="n">
        <f aca="false">VLOOKUP(D278,Cronograma!$A$5:$B$44,2,FALSE())</f>
        <v>46229</v>
      </c>
      <c r="F278" s="9" t="s">
        <v>16</v>
      </c>
    </row>
    <row r="279" customFormat="false" ht="15" hidden="false" customHeight="false" outlineLevel="0" collapsed="false">
      <c r="A279" s="7" t="n">
        <v>278</v>
      </c>
      <c r="B279" s="7" t="s">
        <v>28</v>
      </c>
      <c r="C279" s="7" t="n">
        <v>72</v>
      </c>
      <c r="D279" s="7" t="n">
        <v>30</v>
      </c>
      <c r="E279" s="12" t="n">
        <f aca="false">VLOOKUP(D279,Cronograma!$A$5:$B$44,2,FALSE())</f>
        <v>46229</v>
      </c>
      <c r="F279" s="9" t="s">
        <v>16</v>
      </c>
    </row>
    <row r="280" customFormat="false" ht="15" hidden="false" customHeight="false" outlineLevel="0" collapsed="false">
      <c r="A280" s="7" t="n">
        <v>279</v>
      </c>
      <c r="B280" s="7" t="s">
        <v>28</v>
      </c>
      <c r="C280" s="7" t="n">
        <v>80</v>
      </c>
      <c r="D280" s="7" t="n">
        <v>30</v>
      </c>
      <c r="E280" s="12" t="n">
        <f aca="false">VLOOKUP(D280,Cronograma!$A$5:$B$44,2,FALSE())</f>
        <v>46229</v>
      </c>
      <c r="F280" s="9" t="s">
        <v>16</v>
      </c>
    </row>
    <row r="281" customFormat="false" ht="15" hidden="false" customHeight="false" outlineLevel="0" collapsed="false">
      <c r="A281" s="7" t="n">
        <v>280</v>
      </c>
      <c r="B281" s="7" t="s">
        <v>28</v>
      </c>
      <c r="C281" s="7" t="n">
        <v>53</v>
      </c>
      <c r="D281" s="7" t="n">
        <v>30</v>
      </c>
      <c r="E281" s="12" t="n">
        <f aca="false">VLOOKUP(D281,Cronograma!$A$5:$B$44,2,FALSE())</f>
        <v>46229</v>
      </c>
      <c r="F281" s="9" t="s">
        <v>16</v>
      </c>
    </row>
    <row r="282" customFormat="false" ht="15" hidden="false" customHeight="false" outlineLevel="0" collapsed="false">
      <c r="A282" s="7" t="n">
        <v>281</v>
      </c>
      <c r="B282" s="7" t="s">
        <v>28</v>
      </c>
      <c r="C282" s="7" t="n">
        <v>89</v>
      </c>
      <c r="D282" s="7" t="n">
        <v>31</v>
      </c>
      <c r="E282" s="12" t="n">
        <f aca="false">VLOOKUP(D282,Cronograma!$A$5:$B$44,2,FALSE())</f>
        <v>46230</v>
      </c>
      <c r="F282" s="9" t="s">
        <v>16</v>
      </c>
    </row>
    <row r="283" customFormat="false" ht="15" hidden="false" customHeight="false" outlineLevel="0" collapsed="false">
      <c r="A283" s="7" t="n">
        <v>282</v>
      </c>
      <c r="B283" s="7" t="s">
        <v>28</v>
      </c>
      <c r="C283" s="7" t="n">
        <v>69</v>
      </c>
      <c r="D283" s="7" t="n">
        <v>31</v>
      </c>
      <c r="E283" s="12" t="n">
        <f aca="false">VLOOKUP(D283,Cronograma!$A$5:$B$44,2,FALSE())</f>
        <v>46230</v>
      </c>
      <c r="F283" s="9" t="s">
        <v>16</v>
      </c>
    </row>
    <row r="284" customFormat="false" ht="15" hidden="false" customHeight="false" outlineLevel="0" collapsed="false">
      <c r="A284" s="7" t="n">
        <v>283</v>
      </c>
      <c r="B284" s="7" t="s">
        <v>28</v>
      </c>
      <c r="C284" s="7" t="n">
        <v>65</v>
      </c>
      <c r="D284" s="7" t="n">
        <v>31</v>
      </c>
      <c r="E284" s="12" t="n">
        <f aca="false">VLOOKUP(D284,Cronograma!$A$5:$B$44,2,FALSE())</f>
        <v>46230</v>
      </c>
      <c r="F284" s="9" t="s">
        <v>16</v>
      </c>
    </row>
    <row r="285" customFormat="false" ht="15" hidden="false" customHeight="false" outlineLevel="0" collapsed="false">
      <c r="A285" s="7" t="n">
        <v>284</v>
      </c>
      <c r="B285" s="7" t="s">
        <v>28</v>
      </c>
      <c r="C285" s="7" t="n">
        <v>75</v>
      </c>
      <c r="D285" s="7" t="n">
        <v>31</v>
      </c>
      <c r="E285" s="12" t="n">
        <f aca="false">VLOOKUP(D285,Cronograma!$A$5:$B$44,2,FALSE())</f>
        <v>46230</v>
      </c>
      <c r="F285" s="9" t="s">
        <v>16</v>
      </c>
    </row>
    <row r="286" customFormat="false" ht="15" hidden="false" customHeight="false" outlineLevel="0" collapsed="false">
      <c r="A286" s="7" t="n">
        <v>285</v>
      </c>
      <c r="B286" s="7" t="s">
        <v>28</v>
      </c>
      <c r="C286" s="7" t="n">
        <v>78</v>
      </c>
      <c r="D286" s="7" t="n">
        <v>31</v>
      </c>
      <c r="E286" s="12" t="n">
        <f aca="false">VLOOKUP(D286,Cronograma!$A$5:$B$44,2,FALSE())</f>
        <v>46230</v>
      </c>
      <c r="F286" s="9" t="s">
        <v>16</v>
      </c>
    </row>
    <row r="287" customFormat="false" ht="15" hidden="false" customHeight="false" outlineLevel="0" collapsed="false">
      <c r="A287" s="7" t="n">
        <v>286</v>
      </c>
      <c r="B287" s="7" t="s">
        <v>28</v>
      </c>
      <c r="C287" s="7" t="n">
        <v>71</v>
      </c>
      <c r="D287" s="7" t="n">
        <v>32</v>
      </c>
      <c r="E287" s="12" t="n">
        <f aca="false">VLOOKUP(D287,Cronograma!$A$5:$B$44,2,FALSE())</f>
        <v>46231</v>
      </c>
      <c r="F287" s="9" t="s">
        <v>16</v>
      </c>
    </row>
    <row r="288" customFormat="false" ht="15" hidden="false" customHeight="false" outlineLevel="0" collapsed="false">
      <c r="A288" s="7" t="n">
        <v>287</v>
      </c>
      <c r="B288" s="7" t="s">
        <v>28</v>
      </c>
      <c r="C288" s="7" t="n">
        <v>71</v>
      </c>
      <c r="D288" s="7" t="n">
        <v>32</v>
      </c>
      <c r="E288" s="12" t="n">
        <f aca="false">VLOOKUP(D288,Cronograma!$A$5:$B$44,2,FALSE())</f>
        <v>46231</v>
      </c>
      <c r="F288" s="9" t="s">
        <v>16</v>
      </c>
    </row>
    <row r="289" customFormat="false" ht="15" hidden="false" customHeight="false" outlineLevel="0" collapsed="false">
      <c r="A289" s="7" t="n">
        <v>288</v>
      </c>
      <c r="B289" s="7" t="s">
        <v>28</v>
      </c>
      <c r="C289" s="7" t="n">
        <v>57</v>
      </c>
      <c r="D289" s="7" t="n">
        <v>32</v>
      </c>
      <c r="E289" s="12" t="n">
        <f aca="false">VLOOKUP(D289,Cronograma!$A$5:$B$44,2,FALSE())</f>
        <v>46231</v>
      </c>
      <c r="F289" s="9" t="s">
        <v>16</v>
      </c>
    </row>
    <row r="290" customFormat="false" ht="15" hidden="false" customHeight="false" outlineLevel="0" collapsed="false">
      <c r="A290" s="7" t="n">
        <v>289</v>
      </c>
      <c r="B290" s="7" t="s">
        <v>28</v>
      </c>
      <c r="C290" s="7" t="n">
        <v>86</v>
      </c>
      <c r="D290" s="7" t="n">
        <v>32</v>
      </c>
      <c r="E290" s="12" t="n">
        <f aca="false">VLOOKUP(D290,Cronograma!$A$5:$B$44,2,FALSE())</f>
        <v>46231</v>
      </c>
      <c r="F290" s="9" t="s">
        <v>16</v>
      </c>
    </row>
    <row r="291" customFormat="false" ht="15" hidden="false" customHeight="false" outlineLevel="0" collapsed="false">
      <c r="A291" s="7" t="n">
        <v>290</v>
      </c>
      <c r="B291" s="7" t="s">
        <v>28</v>
      </c>
      <c r="C291" s="7" t="n">
        <v>65</v>
      </c>
      <c r="D291" s="7" t="n">
        <v>32</v>
      </c>
      <c r="E291" s="12" t="n">
        <f aca="false">VLOOKUP(D291,Cronograma!$A$5:$B$44,2,FALSE())</f>
        <v>46231</v>
      </c>
      <c r="F291" s="9" t="s">
        <v>16</v>
      </c>
    </row>
    <row r="292" customFormat="false" ht="15" hidden="false" customHeight="false" outlineLevel="0" collapsed="false">
      <c r="A292" s="7" t="n">
        <v>291</v>
      </c>
      <c r="B292" s="7" t="s">
        <v>28</v>
      </c>
      <c r="C292" s="7" t="n">
        <v>71</v>
      </c>
      <c r="D292" s="7" t="n">
        <v>32</v>
      </c>
      <c r="E292" s="12" t="n">
        <f aca="false">VLOOKUP(D292,Cronograma!$A$5:$B$44,2,FALSE())</f>
        <v>46231</v>
      </c>
      <c r="F292" s="9" t="s">
        <v>16</v>
      </c>
    </row>
    <row r="293" customFormat="false" ht="15" hidden="false" customHeight="false" outlineLevel="0" collapsed="false">
      <c r="A293" s="7" t="n">
        <v>292</v>
      </c>
      <c r="B293" s="7" t="s">
        <v>28</v>
      </c>
      <c r="C293" s="7" t="n">
        <v>67</v>
      </c>
      <c r="D293" s="7" t="n">
        <v>33</v>
      </c>
      <c r="E293" s="12" t="n">
        <f aca="false">VLOOKUP(D293,Cronograma!$A$5:$B$44,2,FALSE())</f>
        <v>46232</v>
      </c>
      <c r="F293" s="9" t="s">
        <v>16</v>
      </c>
    </row>
    <row r="294" customFormat="false" ht="15" hidden="false" customHeight="false" outlineLevel="0" collapsed="false">
      <c r="A294" s="7" t="n">
        <v>293</v>
      </c>
      <c r="B294" s="7" t="s">
        <v>28</v>
      </c>
      <c r="C294" s="7" t="n">
        <v>78</v>
      </c>
      <c r="D294" s="7" t="n">
        <v>33</v>
      </c>
      <c r="E294" s="12" t="n">
        <f aca="false">VLOOKUP(D294,Cronograma!$A$5:$B$44,2,FALSE())</f>
        <v>46232</v>
      </c>
      <c r="F294" s="9" t="s">
        <v>16</v>
      </c>
    </row>
    <row r="295" customFormat="false" ht="15" hidden="false" customHeight="false" outlineLevel="0" collapsed="false">
      <c r="A295" s="7" t="n">
        <v>294</v>
      </c>
      <c r="B295" s="7" t="s">
        <v>28</v>
      </c>
      <c r="C295" s="7" t="n">
        <v>73</v>
      </c>
      <c r="D295" s="7" t="n">
        <v>33</v>
      </c>
      <c r="E295" s="12" t="n">
        <f aca="false">VLOOKUP(D295,Cronograma!$A$5:$B$44,2,FALSE())</f>
        <v>46232</v>
      </c>
      <c r="F295" s="9" t="s">
        <v>16</v>
      </c>
    </row>
    <row r="296" customFormat="false" ht="15" hidden="false" customHeight="false" outlineLevel="0" collapsed="false">
      <c r="A296" s="7" t="n">
        <v>295</v>
      </c>
      <c r="B296" s="7" t="s">
        <v>28</v>
      </c>
      <c r="C296" s="7" t="n">
        <v>67</v>
      </c>
      <c r="D296" s="7" t="n">
        <v>33</v>
      </c>
      <c r="E296" s="12" t="n">
        <f aca="false">VLOOKUP(D296,Cronograma!$A$5:$B$44,2,FALSE())</f>
        <v>46232</v>
      </c>
      <c r="F296" s="9" t="s">
        <v>16</v>
      </c>
    </row>
    <row r="297" customFormat="false" ht="15" hidden="false" customHeight="false" outlineLevel="0" collapsed="false">
      <c r="A297" s="7" t="n">
        <v>296</v>
      </c>
      <c r="B297" s="7" t="s">
        <v>28</v>
      </c>
      <c r="C297" s="7" t="n">
        <v>65</v>
      </c>
      <c r="D297" s="7" t="n">
        <v>33</v>
      </c>
      <c r="E297" s="12" t="n">
        <f aca="false">VLOOKUP(D297,Cronograma!$A$5:$B$44,2,FALSE())</f>
        <v>46232</v>
      </c>
      <c r="F297" s="9" t="s">
        <v>16</v>
      </c>
    </row>
    <row r="298" customFormat="false" ht="15" hidden="false" customHeight="false" outlineLevel="0" collapsed="false">
      <c r="A298" s="7" t="n">
        <v>297</v>
      </c>
      <c r="B298" s="7" t="s">
        <v>28</v>
      </c>
      <c r="C298" s="7" t="n">
        <v>74</v>
      </c>
      <c r="D298" s="7" t="n">
        <v>33</v>
      </c>
      <c r="E298" s="12" t="n">
        <f aca="false">VLOOKUP(D298,Cronograma!$A$5:$B$44,2,FALSE())</f>
        <v>46232</v>
      </c>
      <c r="F298" s="9" t="s">
        <v>16</v>
      </c>
    </row>
    <row r="299" customFormat="false" ht="15" hidden="false" customHeight="false" outlineLevel="0" collapsed="false">
      <c r="A299" s="7" t="n">
        <v>298</v>
      </c>
      <c r="B299" s="7" t="s">
        <v>28</v>
      </c>
      <c r="C299" s="7" t="n">
        <v>94</v>
      </c>
      <c r="D299" s="7" t="n">
        <v>34</v>
      </c>
      <c r="E299" s="12" t="n">
        <f aca="false">VLOOKUP(D299,Cronograma!$A$5:$B$44,2,FALSE())</f>
        <v>46233</v>
      </c>
      <c r="F299" s="9" t="s">
        <v>16</v>
      </c>
    </row>
    <row r="300" customFormat="false" ht="15" hidden="false" customHeight="false" outlineLevel="0" collapsed="false">
      <c r="A300" s="7" t="n">
        <v>299</v>
      </c>
      <c r="B300" s="7" t="s">
        <v>28</v>
      </c>
      <c r="C300" s="7" t="n">
        <v>84</v>
      </c>
      <c r="D300" s="7" t="n">
        <v>34</v>
      </c>
      <c r="E300" s="12" t="n">
        <f aca="false">VLOOKUP(D300,Cronograma!$A$5:$B$44,2,FALSE())</f>
        <v>46233</v>
      </c>
      <c r="F300" s="9" t="s">
        <v>16</v>
      </c>
    </row>
    <row r="301" customFormat="false" ht="15" hidden="false" customHeight="false" outlineLevel="0" collapsed="false">
      <c r="A301" s="7" t="n">
        <v>300</v>
      </c>
      <c r="B301" s="7" t="s">
        <v>28</v>
      </c>
      <c r="C301" s="7" t="n">
        <v>74</v>
      </c>
      <c r="D301" s="7" t="n">
        <v>34</v>
      </c>
      <c r="E301" s="12" t="n">
        <f aca="false">VLOOKUP(D301,Cronograma!$A$5:$B$44,2,FALSE())</f>
        <v>46233</v>
      </c>
      <c r="F301" s="9" t="s">
        <v>16</v>
      </c>
    </row>
    <row r="302" customFormat="false" ht="15" hidden="false" customHeight="false" outlineLevel="0" collapsed="false">
      <c r="A302" s="7" t="n">
        <v>301</v>
      </c>
      <c r="B302" s="7" t="s">
        <v>28</v>
      </c>
      <c r="C302" s="7" t="n">
        <v>74</v>
      </c>
      <c r="D302" s="7" t="n">
        <v>34</v>
      </c>
      <c r="E302" s="12" t="n">
        <f aca="false">VLOOKUP(D302,Cronograma!$A$5:$B$44,2,FALSE())</f>
        <v>46233</v>
      </c>
      <c r="F302" s="9" t="s">
        <v>16</v>
      </c>
    </row>
    <row r="303" customFormat="false" ht="15" hidden="false" customHeight="false" outlineLevel="0" collapsed="false">
      <c r="A303" s="7" t="n">
        <v>302</v>
      </c>
      <c r="B303" s="7" t="s">
        <v>28</v>
      </c>
      <c r="C303" s="7" t="n">
        <v>66</v>
      </c>
      <c r="D303" s="7" t="n">
        <v>34</v>
      </c>
      <c r="E303" s="12" t="n">
        <f aca="false">VLOOKUP(D303,Cronograma!$A$5:$B$44,2,FALSE())</f>
        <v>46233</v>
      </c>
      <c r="F303" s="9" t="s">
        <v>16</v>
      </c>
    </row>
    <row r="304" customFormat="false" ht="15" hidden="false" customHeight="false" outlineLevel="0" collapsed="false">
      <c r="A304" s="7" t="n">
        <v>303</v>
      </c>
      <c r="B304" s="7" t="s">
        <v>28</v>
      </c>
      <c r="C304" s="7" t="n">
        <v>56</v>
      </c>
      <c r="D304" s="7" t="n">
        <v>35</v>
      </c>
      <c r="E304" s="12" t="n">
        <f aca="false">VLOOKUP(D304,Cronograma!$A$5:$B$44,2,FALSE())</f>
        <v>46234</v>
      </c>
      <c r="F304" s="9" t="s">
        <v>16</v>
      </c>
    </row>
    <row r="305" customFormat="false" ht="15" hidden="false" customHeight="false" outlineLevel="0" collapsed="false">
      <c r="A305" s="7" t="n">
        <v>304</v>
      </c>
      <c r="B305" s="7" t="s">
        <v>28</v>
      </c>
      <c r="C305" s="7" t="n">
        <v>80</v>
      </c>
      <c r="D305" s="7" t="n">
        <v>35</v>
      </c>
      <c r="E305" s="12" t="n">
        <f aca="false">VLOOKUP(D305,Cronograma!$A$5:$B$44,2,FALSE())</f>
        <v>46234</v>
      </c>
      <c r="F305" s="9" t="s">
        <v>16</v>
      </c>
    </row>
    <row r="306" customFormat="false" ht="15" hidden="false" customHeight="false" outlineLevel="0" collapsed="false">
      <c r="A306" s="7" t="n">
        <v>305</v>
      </c>
      <c r="B306" s="7" t="s">
        <v>28</v>
      </c>
      <c r="C306" s="7" t="n">
        <v>62</v>
      </c>
      <c r="D306" s="7" t="n">
        <v>35</v>
      </c>
      <c r="E306" s="12" t="n">
        <f aca="false">VLOOKUP(D306,Cronograma!$A$5:$B$44,2,FALSE())</f>
        <v>46234</v>
      </c>
      <c r="F306" s="9" t="s">
        <v>16</v>
      </c>
    </row>
    <row r="307" customFormat="false" ht="15" hidden="false" customHeight="false" outlineLevel="0" collapsed="false">
      <c r="A307" s="7" t="n">
        <v>306</v>
      </c>
      <c r="B307" s="7" t="s">
        <v>28</v>
      </c>
      <c r="C307" s="7" t="n">
        <v>63</v>
      </c>
      <c r="D307" s="7" t="n">
        <v>35</v>
      </c>
      <c r="E307" s="12" t="n">
        <f aca="false">VLOOKUP(D307,Cronograma!$A$5:$B$44,2,FALSE())</f>
        <v>46234</v>
      </c>
      <c r="F307" s="9" t="s">
        <v>16</v>
      </c>
    </row>
    <row r="308" customFormat="false" ht="15" hidden="false" customHeight="false" outlineLevel="0" collapsed="false">
      <c r="A308" s="7" t="n">
        <v>307</v>
      </c>
      <c r="B308" s="7" t="s">
        <v>28</v>
      </c>
      <c r="C308" s="7" t="n">
        <v>73</v>
      </c>
      <c r="D308" s="7" t="n">
        <v>35</v>
      </c>
      <c r="E308" s="12" t="n">
        <f aca="false">VLOOKUP(D308,Cronograma!$A$5:$B$44,2,FALSE())</f>
        <v>46234</v>
      </c>
      <c r="F308" s="9" t="s">
        <v>16</v>
      </c>
    </row>
    <row r="309" customFormat="false" ht="15" hidden="false" customHeight="false" outlineLevel="0" collapsed="false">
      <c r="A309" s="7" t="n">
        <v>308</v>
      </c>
      <c r="B309" s="7" t="s">
        <v>28</v>
      </c>
      <c r="C309" s="7" t="n">
        <v>62</v>
      </c>
      <c r="D309" s="7" t="n">
        <v>35</v>
      </c>
      <c r="E309" s="12" t="n">
        <f aca="false">VLOOKUP(D309,Cronograma!$A$5:$B$44,2,FALSE())</f>
        <v>46234</v>
      </c>
      <c r="F309" s="9" t="s">
        <v>16</v>
      </c>
    </row>
    <row r="310" customFormat="false" ht="15" hidden="false" customHeight="false" outlineLevel="0" collapsed="false">
      <c r="A310" s="7" t="n">
        <v>309</v>
      </c>
      <c r="B310" s="7" t="s">
        <v>28</v>
      </c>
      <c r="C310" s="7" t="n">
        <v>74</v>
      </c>
      <c r="D310" s="7" t="n">
        <v>36</v>
      </c>
      <c r="E310" s="12" t="n">
        <f aca="false">VLOOKUP(D310,Cronograma!$A$5:$B$44,2,FALSE())</f>
        <v>46235</v>
      </c>
      <c r="F310" s="9" t="s">
        <v>16</v>
      </c>
    </row>
    <row r="311" customFormat="false" ht="15" hidden="false" customHeight="false" outlineLevel="0" collapsed="false">
      <c r="A311" s="7" t="n">
        <v>310</v>
      </c>
      <c r="B311" s="7" t="s">
        <v>28</v>
      </c>
      <c r="C311" s="7" t="n">
        <v>64</v>
      </c>
      <c r="D311" s="7" t="n">
        <v>36</v>
      </c>
      <c r="E311" s="12" t="n">
        <f aca="false">VLOOKUP(D311,Cronograma!$A$5:$B$44,2,FALSE())</f>
        <v>46235</v>
      </c>
      <c r="F311" s="9" t="s">
        <v>16</v>
      </c>
    </row>
    <row r="312" customFormat="false" ht="15" hidden="false" customHeight="false" outlineLevel="0" collapsed="false">
      <c r="A312" s="7" t="n">
        <v>311</v>
      </c>
      <c r="B312" s="7" t="s">
        <v>28</v>
      </c>
      <c r="C312" s="7" t="n">
        <v>7</v>
      </c>
      <c r="D312" s="7" t="n">
        <v>36</v>
      </c>
      <c r="E312" s="12" t="n">
        <f aca="false">VLOOKUP(D312,Cronograma!$A$5:$B$44,2,FALSE())</f>
        <v>46235</v>
      </c>
      <c r="F312" s="9" t="s">
        <v>16</v>
      </c>
    </row>
    <row r="313" customFormat="false" ht="15" hidden="false" customHeight="false" outlineLevel="0" collapsed="false">
      <c r="A313" s="7" t="n">
        <v>312</v>
      </c>
      <c r="B313" s="7" t="s">
        <v>28</v>
      </c>
      <c r="C313" s="7" t="n">
        <v>91</v>
      </c>
      <c r="D313" s="7" t="n">
        <v>36</v>
      </c>
      <c r="E313" s="12" t="n">
        <f aca="false">VLOOKUP(D313,Cronograma!$A$5:$B$44,2,FALSE())</f>
        <v>46235</v>
      </c>
      <c r="F313" s="9" t="s">
        <v>16</v>
      </c>
    </row>
    <row r="314" customFormat="false" ht="15" hidden="false" customHeight="false" outlineLevel="0" collapsed="false">
      <c r="A314" s="7" t="n">
        <v>313</v>
      </c>
      <c r="B314" s="7" t="s">
        <v>28</v>
      </c>
      <c r="C314" s="7" t="n">
        <v>72</v>
      </c>
      <c r="D314" s="7" t="n">
        <v>36</v>
      </c>
      <c r="E314" s="12" t="n">
        <f aca="false">VLOOKUP(D314,Cronograma!$A$5:$B$44,2,FALSE())</f>
        <v>46235</v>
      </c>
      <c r="F314" s="9" t="s">
        <v>16</v>
      </c>
    </row>
    <row r="315" customFormat="false" ht="15" hidden="false" customHeight="false" outlineLevel="0" collapsed="false">
      <c r="A315" s="7" t="n">
        <v>314</v>
      </c>
      <c r="B315" s="7" t="s">
        <v>28</v>
      </c>
      <c r="C315" s="7" t="n">
        <v>90</v>
      </c>
      <c r="D315" s="7" t="n">
        <v>36</v>
      </c>
      <c r="E315" s="12" t="n">
        <f aca="false">VLOOKUP(D315,Cronograma!$A$5:$B$44,2,FALSE())</f>
        <v>46235</v>
      </c>
      <c r="F315" s="9" t="s">
        <v>16</v>
      </c>
    </row>
    <row r="316" customFormat="false" ht="15" hidden="false" customHeight="false" outlineLevel="0" collapsed="false">
      <c r="A316" s="7" t="n">
        <v>315</v>
      </c>
      <c r="B316" s="7" t="s">
        <v>28</v>
      </c>
      <c r="C316" s="7" t="n">
        <v>106</v>
      </c>
      <c r="D316" s="7" t="n">
        <v>37</v>
      </c>
      <c r="E316" s="12" t="n">
        <f aca="false">VLOOKUP(D316,Cronograma!$A$5:$B$44,2,FALSE())</f>
        <v>46236</v>
      </c>
      <c r="F316" s="9" t="s">
        <v>16</v>
      </c>
    </row>
    <row r="317" customFormat="false" ht="15" hidden="false" customHeight="false" outlineLevel="0" collapsed="false">
      <c r="A317" s="7" t="n">
        <v>316</v>
      </c>
      <c r="B317" s="7" t="s">
        <v>28</v>
      </c>
      <c r="C317" s="7" t="n">
        <v>92</v>
      </c>
      <c r="D317" s="7" t="n">
        <v>37</v>
      </c>
      <c r="E317" s="12" t="n">
        <f aca="false">VLOOKUP(D317,Cronograma!$A$5:$B$44,2,FALSE())</f>
        <v>46236</v>
      </c>
      <c r="F317" s="9" t="s">
        <v>16</v>
      </c>
    </row>
    <row r="318" customFormat="false" ht="15" hidden="false" customHeight="false" outlineLevel="0" collapsed="false">
      <c r="A318" s="7" t="n">
        <v>317</v>
      </c>
      <c r="B318" s="7" t="s">
        <v>28</v>
      </c>
      <c r="C318" s="7" t="n">
        <v>28</v>
      </c>
      <c r="D318" s="7" t="n">
        <v>37</v>
      </c>
      <c r="E318" s="12" t="n">
        <f aca="false">VLOOKUP(D318,Cronograma!$A$5:$B$44,2,FALSE())</f>
        <v>46236</v>
      </c>
      <c r="F318" s="9" t="s">
        <v>16</v>
      </c>
    </row>
    <row r="319" customFormat="false" ht="15" hidden="false" customHeight="false" outlineLevel="0" collapsed="false">
      <c r="A319" s="7" t="n">
        <v>318</v>
      </c>
      <c r="B319" s="7" t="s">
        <v>28</v>
      </c>
      <c r="C319" s="7" t="n">
        <v>33</v>
      </c>
      <c r="D319" s="7" t="n">
        <v>37</v>
      </c>
      <c r="E319" s="12" t="n">
        <f aca="false">VLOOKUP(D319,Cronograma!$A$5:$B$44,2,FALSE())</f>
        <v>46236</v>
      </c>
      <c r="F319" s="9" t="s">
        <v>16</v>
      </c>
    </row>
    <row r="320" customFormat="false" ht="15" hidden="false" customHeight="false" outlineLevel="0" collapsed="false">
      <c r="A320" s="7" t="n">
        <v>319</v>
      </c>
      <c r="B320" s="7" t="s">
        <v>28</v>
      </c>
      <c r="C320" s="7" t="n">
        <v>63</v>
      </c>
      <c r="D320" s="7" t="n">
        <v>37</v>
      </c>
      <c r="E320" s="12" t="n">
        <f aca="false">VLOOKUP(D320,Cronograma!$A$5:$B$44,2,FALSE())</f>
        <v>46236</v>
      </c>
      <c r="F320" s="9" t="s">
        <v>16</v>
      </c>
    </row>
    <row r="321" customFormat="false" ht="15" hidden="false" customHeight="false" outlineLevel="0" collapsed="false">
      <c r="A321" s="7" t="n">
        <v>320</v>
      </c>
      <c r="B321" s="7" t="s">
        <v>28</v>
      </c>
      <c r="C321" s="7" t="n">
        <v>17</v>
      </c>
      <c r="D321" s="7" t="n">
        <v>37</v>
      </c>
      <c r="E321" s="12" t="n">
        <f aca="false">VLOOKUP(D321,Cronograma!$A$5:$B$44,2,FALSE())</f>
        <v>46236</v>
      </c>
      <c r="F321" s="9" t="s">
        <v>16</v>
      </c>
    </row>
    <row r="322" customFormat="false" ht="15" hidden="false" customHeight="false" outlineLevel="0" collapsed="false">
      <c r="A322" s="7" t="n">
        <v>321</v>
      </c>
      <c r="B322" s="7" t="s">
        <v>28</v>
      </c>
      <c r="C322" s="7" t="n">
        <v>126</v>
      </c>
      <c r="D322" s="7" t="n">
        <v>38</v>
      </c>
      <c r="E322" s="12" t="n">
        <f aca="false">VLOOKUP(D322,Cronograma!$A$5:$B$44,2,FALSE())</f>
        <v>46237</v>
      </c>
      <c r="F322" s="9" t="s">
        <v>16</v>
      </c>
    </row>
    <row r="323" customFormat="false" ht="15" hidden="false" customHeight="false" outlineLevel="0" collapsed="false">
      <c r="A323" s="7" t="n">
        <v>322</v>
      </c>
      <c r="B323" s="7" t="s">
        <v>28</v>
      </c>
      <c r="C323" s="7" t="n">
        <v>71</v>
      </c>
      <c r="D323" s="7" t="n">
        <v>38</v>
      </c>
      <c r="E323" s="12" t="n">
        <f aca="false">VLOOKUP(D323,Cronograma!$A$5:$B$44,2,FALSE())</f>
        <v>46237</v>
      </c>
      <c r="F323" s="9" t="s">
        <v>16</v>
      </c>
    </row>
    <row r="324" customFormat="false" ht="15" hidden="false" customHeight="false" outlineLevel="0" collapsed="false">
      <c r="A324" s="7" t="n">
        <v>323</v>
      </c>
      <c r="B324" s="7" t="s">
        <v>28</v>
      </c>
      <c r="C324" s="7" t="n">
        <v>68</v>
      </c>
      <c r="D324" s="7" t="n">
        <v>38</v>
      </c>
      <c r="E324" s="12" t="n">
        <f aca="false">VLOOKUP(D324,Cronograma!$A$5:$B$44,2,FALSE())</f>
        <v>46237</v>
      </c>
      <c r="F324" s="9" t="s">
        <v>16</v>
      </c>
    </row>
    <row r="325" customFormat="false" ht="15" hidden="false" customHeight="false" outlineLevel="0" collapsed="false">
      <c r="A325" s="7" t="n">
        <v>324</v>
      </c>
      <c r="B325" s="7" t="s">
        <v>28</v>
      </c>
      <c r="C325" s="7" t="n">
        <v>42</v>
      </c>
      <c r="D325" s="7" t="n">
        <v>38</v>
      </c>
      <c r="E325" s="12" t="n">
        <f aca="false">VLOOKUP(D325,Cronograma!$A$5:$B$44,2,FALSE())</f>
        <v>46237</v>
      </c>
      <c r="F325" s="9" t="s">
        <v>16</v>
      </c>
    </row>
    <row r="326" customFormat="false" ht="15" hidden="false" customHeight="false" outlineLevel="0" collapsed="false">
      <c r="A326" s="7" t="n">
        <v>325</v>
      </c>
      <c r="B326" s="7" t="s">
        <v>28</v>
      </c>
      <c r="C326" s="7" t="n">
        <v>86</v>
      </c>
      <c r="D326" s="7" t="n">
        <v>38</v>
      </c>
      <c r="E326" s="12" t="n">
        <f aca="false">VLOOKUP(D326,Cronograma!$A$5:$B$44,2,FALSE())</f>
        <v>46237</v>
      </c>
      <c r="F326" s="9" t="s">
        <v>16</v>
      </c>
    </row>
    <row r="327" customFormat="false" ht="15" hidden="false" customHeight="false" outlineLevel="0" collapsed="false">
      <c r="A327" s="7" t="n">
        <v>326</v>
      </c>
      <c r="B327" s="7" t="s">
        <v>28</v>
      </c>
      <c r="C327" s="7" t="n">
        <v>36</v>
      </c>
      <c r="D327" s="7" t="n">
        <v>39</v>
      </c>
      <c r="E327" s="12" t="n">
        <f aca="false">VLOOKUP(D327,Cronograma!$A$5:$B$44,2,FALSE())</f>
        <v>46238</v>
      </c>
      <c r="F327" s="9" t="s">
        <v>16</v>
      </c>
    </row>
    <row r="328" customFormat="false" ht="15" hidden="false" customHeight="false" outlineLevel="0" collapsed="false">
      <c r="A328" s="7" t="n">
        <v>327</v>
      </c>
      <c r="B328" s="7" t="s">
        <v>28</v>
      </c>
      <c r="C328" s="7" t="n">
        <v>118</v>
      </c>
      <c r="D328" s="7" t="n">
        <v>39</v>
      </c>
      <c r="E328" s="12" t="n">
        <f aca="false">VLOOKUP(D328,Cronograma!$A$5:$B$44,2,FALSE())</f>
        <v>46238</v>
      </c>
      <c r="F328" s="9" t="s">
        <v>16</v>
      </c>
    </row>
    <row r="329" customFormat="false" ht="15" hidden="false" customHeight="false" outlineLevel="0" collapsed="false">
      <c r="A329" s="7" t="n">
        <v>328</v>
      </c>
      <c r="B329" s="7" t="s">
        <v>28</v>
      </c>
      <c r="C329" s="7" t="n">
        <v>48</v>
      </c>
      <c r="D329" s="7" t="n">
        <v>39</v>
      </c>
      <c r="E329" s="12" t="n">
        <f aca="false">VLOOKUP(D329,Cronograma!$A$5:$B$44,2,FALSE())</f>
        <v>46238</v>
      </c>
      <c r="F329" s="9" t="s">
        <v>16</v>
      </c>
    </row>
    <row r="330" customFormat="false" ht="15" hidden="false" customHeight="false" outlineLevel="0" collapsed="false">
      <c r="A330" s="7" t="n">
        <v>329</v>
      </c>
      <c r="B330" s="7" t="s">
        <v>28</v>
      </c>
      <c r="C330" s="7" t="n">
        <v>15</v>
      </c>
      <c r="D330" s="7" t="n">
        <v>39</v>
      </c>
      <c r="E330" s="12" t="n">
        <f aca="false">VLOOKUP(D330,Cronograma!$A$5:$B$44,2,FALSE())</f>
        <v>46238</v>
      </c>
      <c r="F330" s="9" t="s">
        <v>16</v>
      </c>
    </row>
    <row r="331" customFormat="false" ht="15" hidden="false" customHeight="false" outlineLevel="0" collapsed="false">
      <c r="A331" s="7" t="n">
        <v>330</v>
      </c>
      <c r="B331" s="7" t="s">
        <v>28</v>
      </c>
      <c r="C331" s="7" t="n">
        <v>15</v>
      </c>
      <c r="D331" s="7" t="n">
        <v>39</v>
      </c>
      <c r="E331" s="12" t="n">
        <f aca="false">VLOOKUP(D331,Cronograma!$A$5:$B$44,2,FALSE())</f>
        <v>46238</v>
      </c>
      <c r="F331" s="9" t="s">
        <v>16</v>
      </c>
    </row>
    <row r="332" customFormat="false" ht="15" hidden="false" customHeight="false" outlineLevel="0" collapsed="false">
      <c r="A332" s="7" t="n">
        <v>331</v>
      </c>
      <c r="B332" s="7" t="s">
        <v>28</v>
      </c>
      <c r="C332" s="7" t="n">
        <v>16</v>
      </c>
      <c r="D332" s="7" t="n">
        <v>39</v>
      </c>
      <c r="E332" s="12" t="n">
        <f aca="false">VLOOKUP(D332,Cronograma!$A$5:$B$44,2,FALSE())</f>
        <v>46238</v>
      </c>
      <c r="F332" s="9" t="s">
        <v>16</v>
      </c>
    </row>
    <row r="333" customFormat="false" ht="15" hidden="false" customHeight="false" outlineLevel="0" collapsed="false">
      <c r="A333" s="7" t="n">
        <v>332</v>
      </c>
      <c r="B333" s="7" t="s">
        <v>28</v>
      </c>
      <c r="C333" s="7" t="n">
        <v>8</v>
      </c>
      <c r="D333" s="7" t="n">
        <v>39</v>
      </c>
      <c r="E333" s="12" t="n">
        <f aca="false">VLOOKUP(D333,Cronograma!$A$5:$B$44,2,FALSE())</f>
        <v>46238</v>
      </c>
      <c r="F333" s="9" t="s">
        <v>16</v>
      </c>
    </row>
    <row r="334" customFormat="false" ht="15" hidden="false" customHeight="false" outlineLevel="0" collapsed="false">
      <c r="A334" s="7" t="n">
        <v>333</v>
      </c>
      <c r="B334" s="7" t="s">
        <v>28</v>
      </c>
      <c r="C334" s="7" t="n">
        <v>15</v>
      </c>
      <c r="D334" s="7" t="n">
        <v>39</v>
      </c>
      <c r="E334" s="12" t="n">
        <f aca="false">VLOOKUP(D334,Cronograma!$A$5:$B$44,2,FALSE())</f>
        <v>46238</v>
      </c>
      <c r="F334" s="9" t="s">
        <v>16</v>
      </c>
    </row>
    <row r="335" customFormat="false" ht="15" hidden="false" customHeight="false" outlineLevel="0" collapsed="false">
      <c r="A335" s="7" t="n">
        <v>334</v>
      </c>
      <c r="B335" s="7" t="s">
        <v>28</v>
      </c>
      <c r="C335" s="7" t="n">
        <v>5</v>
      </c>
      <c r="D335" s="7" t="n">
        <v>39</v>
      </c>
      <c r="E335" s="12" t="n">
        <f aca="false">VLOOKUP(D335,Cronograma!$A$5:$B$44,2,FALSE())</f>
        <v>46238</v>
      </c>
      <c r="F335" s="9" t="s">
        <v>16</v>
      </c>
    </row>
    <row r="336" customFormat="false" ht="15" hidden="false" customHeight="false" outlineLevel="0" collapsed="false">
      <c r="A336" s="7" t="n">
        <v>335</v>
      </c>
      <c r="B336" s="7" t="s">
        <v>28</v>
      </c>
      <c r="C336" s="7" t="n">
        <v>8</v>
      </c>
      <c r="D336" s="7" t="n">
        <v>39</v>
      </c>
      <c r="E336" s="12" t="n">
        <f aca="false">VLOOKUP(D336,Cronograma!$A$5:$B$44,2,FALSE())</f>
        <v>46238</v>
      </c>
      <c r="F336" s="9" t="s">
        <v>16</v>
      </c>
    </row>
    <row r="337" customFormat="false" ht="15" hidden="false" customHeight="false" outlineLevel="0" collapsed="false">
      <c r="A337" s="7" t="n">
        <v>336</v>
      </c>
      <c r="B337" s="7" t="s">
        <v>28</v>
      </c>
      <c r="C337" s="7" t="n">
        <v>5</v>
      </c>
      <c r="D337" s="7" t="n">
        <v>39</v>
      </c>
      <c r="E337" s="12" t="n">
        <f aca="false">VLOOKUP(D337,Cronograma!$A$5:$B$44,2,FALSE())</f>
        <v>46238</v>
      </c>
      <c r="F337" s="9" t="s">
        <v>16</v>
      </c>
    </row>
    <row r="338" customFormat="false" ht="15" hidden="false" customHeight="false" outlineLevel="0" collapsed="false">
      <c r="A338" s="7" t="n">
        <v>337</v>
      </c>
      <c r="B338" s="7" t="s">
        <v>28</v>
      </c>
      <c r="C338" s="7" t="n">
        <v>5</v>
      </c>
      <c r="D338" s="7" t="n">
        <v>39</v>
      </c>
      <c r="E338" s="12" t="n">
        <f aca="false">VLOOKUP(D338,Cronograma!$A$5:$B$44,2,FALSE())</f>
        <v>46238</v>
      </c>
      <c r="F338" s="9" t="s">
        <v>16</v>
      </c>
    </row>
    <row r="339" customFormat="false" ht="15" hidden="false" customHeight="false" outlineLevel="0" collapsed="false">
      <c r="A339" s="7" t="n">
        <v>338</v>
      </c>
      <c r="B339" s="7" t="s">
        <v>28</v>
      </c>
      <c r="C339" s="7" t="n">
        <v>4</v>
      </c>
      <c r="D339" s="7" t="n">
        <v>39</v>
      </c>
      <c r="E339" s="12" t="n">
        <f aca="false">VLOOKUP(D339,Cronograma!$A$5:$B$44,2,FALSE())</f>
        <v>46238</v>
      </c>
      <c r="F339" s="9" t="s">
        <v>16</v>
      </c>
    </row>
    <row r="340" customFormat="false" ht="15" hidden="false" customHeight="false" outlineLevel="0" collapsed="false">
      <c r="A340" s="7" t="n">
        <v>339</v>
      </c>
      <c r="B340" s="7" t="s">
        <v>28</v>
      </c>
      <c r="C340" s="7" t="n">
        <v>7</v>
      </c>
      <c r="D340" s="7" t="n">
        <v>39</v>
      </c>
      <c r="E340" s="12" t="n">
        <f aca="false">VLOOKUP(D340,Cronograma!$A$5:$B$44,2,FALSE())</f>
        <v>46238</v>
      </c>
      <c r="F340" s="9" t="s">
        <v>16</v>
      </c>
    </row>
    <row r="341" customFormat="false" ht="15" hidden="false" customHeight="false" outlineLevel="0" collapsed="false">
      <c r="A341" s="7" t="n">
        <v>340</v>
      </c>
      <c r="B341" s="7" t="s">
        <v>28</v>
      </c>
      <c r="C341" s="7" t="n">
        <v>3</v>
      </c>
      <c r="D341" s="7" t="n">
        <v>39</v>
      </c>
      <c r="E341" s="12" t="n">
        <f aca="false">VLOOKUP(D341,Cronograma!$A$5:$B$44,2,FALSE())</f>
        <v>46238</v>
      </c>
      <c r="F341" s="9" t="s">
        <v>16</v>
      </c>
    </row>
    <row r="342" customFormat="false" ht="15" hidden="false" customHeight="false" outlineLevel="0" collapsed="false">
      <c r="A342" s="7" t="n">
        <v>341</v>
      </c>
      <c r="B342" s="7" t="s">
        <v>28</v>
      </c>
      <c r="C342" s="7" t="n">
        <v>4</v>
      </c>
      <c r="D342" s="7" t="n">
        <v>39</v>
      </c>
      <c r="E342" s="12" t="n">
        <f aca="false">VLOOKUP(D342,Cronograma!$A$5:$B$44,2,FALSE())</f>
        <v>46238</v>
      </c>
      <c r="F342" s="9" t="s">
        <v>16</v>
      </c>
    </row>
    <row r="343" customFormat="false" ht="15" hidden="false" customHeight="false" outlineLevel="0" collapsed="false">
      <c r="A343" s="7" t="n">
        <v>342</v>
      </c>
      <c r="B343" s="7" t="s">
        <v>28</v>
      </c>
      <c r="C343" s="7" t="n">
        <v>15</v>
      </c>
      <c r="D343" s="7" t="n">
        <v>39</v>
      </c>
      <c r="E343" s="12" t="n">
        <f aca="false">VLOOKUP(D343,Cronograma!$A$5:$B$44,2,FALSE())</f>
        <v>46238</v>
      </c>
      <c r="F343" s="9" t="s">
        <v>16</v>
      </c>
    </row>
    <row r="344" customFormat="false" ht="15" hidden="false" customHeight="false" outlineLevel="0" collapsed="false">
      <c r="A344" s="7" t="n">
        <v>343</v>
      </c>
      <c r="B344" s="7" t="s">
        <v>28</v>
      </c>
      <c r="C344" s="7" t="n">
        <v>6</v>
      </c>
      <c r="D344" s="7" t="n">
        <v>39</v>
      </c>
      <c r="E344" s="12" t="n">
        <f aca="false">VLOOKUP(D344,Cronograma!$A$5:$B$44,2,FALSE())</f>
        <v>46238</v>
      </c>
      <c r="F344" s="9" t="s">
        <v>16</v>
      </c>
    </row>
    <row r="345" customFormat="false" ht="15" hidden="false" customHeight="false" outlineLevel="0" collapsed="false">
      <c r="A345" s="7" t="n">
        <v>344</v>
      </c>
      <c r="B345" s="7" t="s">
        <v>28</v>
      </c>
      <c r="C345" s="7" t="n">
        <v>4</v>
      </c>
      <c r="D345" s="7" t="n">
        <v>39</v>
      </c>
      <c r="E345" s="12" t="n">
        <f aca="false">VLOOKUP(D345,Cronograma!$A$5:$B$44,2,FALSE())</f>
        <v>46238</v>
      </c>
      <c r="F345" s="9" t="s">
        <v>16</v>
      </c>
    </row>
    <row r="346" customFormat="false" ht="15" hidden="false" customHeight="false" outlineLevel="0" collapsed="false">
      <c r="A346" s="7" t="n">
        <v>345</v>
      </c>
      <c r="B346" s="7" t="s">
        <v>28</v>
      </c>
      <c r="C346" s="7" t="n">
        <v>4</v>
      </c>
      <c r="D346" s="7" t="n">
        <v>39</v>
      </c>
      <c r="E346" s="12" t="n">
        <f aca="false">VLOOKUP(D346,Cronograma!$A$5:$B$44,2,FALSE())</f>
        <v>46238</v>
      </c>
      <c r="F346" s="9" t="s">
        <v>16</v>
      </c>
    </row>
    <row r="347" customFormat="false" ht="15" hidden="false" customHeight="false" outlineLevel="0" collapsed="false">
      <c r="A347" s="7" t="n">
        <v>346</v>
      </c>
      <c r="B347" s="7" t="s">
        <v>28</v>
      </c>
      <c r="C347" s="7" t="n">
        <v>3</v>
      </c>
      <c r="D347" s="7" t="n">
        <v>39</v>
      </c>
      <c r="E347" s="12" t="n">
        <f aca="false">VLOOKUP(D347,Cronograma!$A$5:$B$44,2,FALSE())</f>
        <v>46238</v>
      </c>
      <c r="F347" s="9" t="s">
        <v>16</v>
      </c>
    </row>
    <row r="348" customFormat="false" ht="15" hidden="false" customHeight="false" outlineLevel="0" collapsed="false">
      <c r="A348" s="7" t="n">
        <v>347</v>
      </c>
      <c r="B348" s="7" t="s">
        <v>28</v>
      </c>
      <c r="C348" s="7" t="n">
        <v>6</v>
      </c>
      <c r="D348" s="7" t="n">
        <v>39</v>
      </c>
      <c r="E348" s="12" t="n">
        <f aca="false">VLOOKUP(D348,Cronograma!$A$5:$B$44,2,FALSE())</f>
        <v>46238</v>
      </c>
      <c r="F348" s="9" t="s">
        <v>16</v>
      </c>
    </row>
    <row r="349" customFormat="false" ht="15" hidden="false" customHeight="false" outlineLevel="0" collapsed="false">
      <c r="A349" s="7" t="n">
        <v>348</v>
      </c>
      <c r="B349" s="7" t="s">
        <v>28</v>
      </c>
      <c r="C349" s="7" t="n">
        <v>9</v>
      </c>
      <c r="D349" s="7" t="n">
        <v>39</v>
      </c>
      <c r="E349" s="12" t="n">
        <f aca="false">VLOOKUP(D349,Cronograma!$A$5:$B$44,2,FALSE())</f>
        <v>46238</v>
      </c>
      <c r="F349" s="9" t="s">
        <v>16</v>
      </c>
    </row>
    <row r="350" customFormat="false" ht="15" hidden="false" customHeight="false" outlineLevel="0" collapsed="false">
      <c r="A350" s="7" t="n">
        <v>349</v>
      </c>
      <c r="B350" s="7" t="s">
        <v>28</v>
      </c>
      <c r="C350" s="7" t="n">
        <v>6</v>
      </c>
      <c r="D350" s="7" t="n">
        <v>39</v>
      </c>
      <c r="E350" s="12" t="n">
        <f aca="false">VLOOKUP(D350,Cronograma!$A$5:$B$44,2,FALSE())</f>
        <v>46238</v>
      </c>
      <c r="F350" s="9" t="s">
        <v>16</v>
      </c>
    </row>
    <row r="351" customFormat="false" ht="15" hidden="false" customHeight="false" outlineLevel="0" collapsed="false">
      <c r="A351" s="7" t="n">
        <v>350</v>
      </c>
      <c r="B351" s="7" t="s">
        <v>28</v>
      </c>
      <c r="C351" s="7" t="n">
        <v>4</v>
      </c>
      <c r="D351" s="7" t="n">
        <v>40</v>
      </c>
      <c r="E351" s="12" t="n">
        <f aca="false">VLOOKUP(D351,Cronograma!$A$5:$B$44,2,FALSE())</f>
        <v>46239</v>
      </c>
      <c r="F351" s="9" t="s">
        <v>16</v>
      </c>
    </row>
    <row r="352" customFormat="false" ht="15" hidden="false" customHeight="false" outlineLevel="0" collapsed="false">
      <c r="A352" s="7" t="n">
        <v>351</v>
      </c>
      <c r="B352" s="7" t="s">
        <v>28</v>
      </c>
      <c r="C352" s="7" t="n">
        <v>4</v>
      </c>
      <c r="D352" s="7" t="n">
        <v>40</v>
      </c>
      <c r="E352" s="12" t="n">
        <f aca="false">VLOOKUP(D352,Cronograma!$A$5:$B$44,2,FALSE())</f>
        <v>46239</v>
      </c>
      <c r="F352" s="9" t="s">
        <v>16</v>
      </c>
    </row>
    <row r="353" customFormat="false" ht="15" hidden="false" customHeight="false" outlineLevel="0" collapsed="false">
      <c r="A353" s="7" t="n">
        <v>352</v>
      </c>
      <c r="B353" s="7" t="s">
        <v>28</v>
      </c>
      <c r="C353" s="7" t="n">
        <v>12</v>
      </c>
      <c r="D353" s="7" t="n">
        <v>40</v>
      </c>
      <c r="E353" s="12" t="n">
        <f aca="false">VLOOKUP(D353,Cronograma!$A$5:$B$44,2,FALSE())</f>
        <v>46239</v>
      </c>
      <c r="F353" s="9" t="s">
        <v>16</v>
      </c>
    </row>
    <row r="354" customFormat="false" ht="15" hidden="false" customHeight="false" outlineLevel="0" collapsed="false">
      <c r="A354" s="7" t="n">
        <v>353</v>
      </c>
      <c r="B354" s="7" t="s">
        <v>28</v>
      </c>
      <c r="C354" s="7" t="n">
        <v>5</v>
      </c>
      <c r="D354" s="7" t="n">
        <v>40</v>
      </c>
      <c r="E354" s="12" t="n">
        <f aca="false">VLOOKUP(D354,Cronograma!$A$5:$B$44,2,FALSE())</f>
        <v>46239</v>
      </c>
      <c r="F354" s="9" t="s">
        <v>16</v>
      </c>
    </row>
    <row r="355" customFormat="false" ht="15" hidden="false" customHeight="false" outlineLevel="0" collapsed="false">
      <c r="A355" s="7" t="n">
        <v>354</v>
      </c>
      <c r="B355" s="7" t="s">
        <v>28</v>
      </c>
      <c r="C355" s="7" t="n">
        <v>5</v>
      </c>
      <c r="D355" s="7" t="n">
        <v>40</v>
      </c>
      <c r="E355" s="12" t="n">
        <f aca="false">VLOOKUP(D355,Cronograma!$A$5:$B$44,2,FALSE())</f>
        <v>46239</v>
      </c>
      <c r="F355" s="9" t="s">
        <v>16</v>
      </c>
    </row>
    <row r="356" customFormat="false" ht="15" hidden="false" customHeight="false" outlineLevel="0" collapsed="false">
      <c r="A356" s="7" t="n">
        <v>355</v>
      </c>
      <c r="B356" s="7" t="s">
        <v>28</v>
      </c>
      <c r="C356" s="7" t="n">
        <v>3</v>
      </c>
      <c r="D356" s="7" t="n">
        <v>40</v>
      </c>
      <c r="E356" s="12" t="n">
        <f aca="false">VLOOKUP(D356,Cronograma!$A$5:$B$44,2,FALSE())</f>
        <v>46239</v>
      </c>
      <c r="F356" s="9" t="s">
        <v>16</v>
      </c>
    </row>
    <row r="357" customFormat="false" ht="15" hidden="false" customHeight="false" outlineLevel="0" collapsed="false">
      <c r="A357" s="7" t="n">
        <v>356</v>
      </c>
      <c r="B357" s="7" t="s">
        <v>28</v>
      </c>
      <c r="C357" s="7" t="n">
        <v>6</v>
      </c>
      <c r="D357" s="7" t="n">
        <v>40</v>
      </c>
      <c r="E357" s="12" t="n">
        <f aca="false">VLOOKUP(D357,Cronograma!$A$5:$B$44,2,FALSE())</f>
        <v>46239</v>
      </c>
      <c r="F357" s="9" t="s">
        <v>16</v>
      </c>
    </row>
    <row r="358" customFormat="false" ht="15" hidden="false" customHeight="false" outlineLevel="0" collapsed="false">
      <c r="A358" s="7" t="n">
        <v>357</v>
      </c>
      <c r="B358" s="7" t="s">
        <v>28</v>
      </c>
      <c r="C358" s="7" t="n">
        <v>3</v>
      </c>
      <c r="D358" s="7" t="n">
        <v>40</v>
      </c>
      <c r="E358" s="12" t="n">
        <f aca="false">VLOOKUP(D358,Cronograma!$A$5:$B$44,2,FALSE())</f>
        <v>46239</v>
      </c>
      <c r="F358" s="9" t="s">
        <v>16</v>
      </c>
    </row>
    <row r="359" customFormat="false" ht="15" hidden="false" customHeight="false" outlineLevel="0" collapsed="false">
      <c r="A359" s="7" t="n">
        <v>358</v>
      </c>
      <c r="B359" s="7" t="s">
        <v>28</v>
      </c>
      <c r="C359" s="7" t="n">
        <v>4</v>
      </c>
      <c r="D359" s="7" t="n">
        <v>40</v>
      </c>
      <c r="E359" s="12" t="n">
        <f aca="false">VLOOKUP(D359,Cronograma!$A$5:$B$44,2,FALSE())</f>
        <v>46239</v>
      </c>
      <c r="F359" s="9" t="s">
        <v>16</v>
      </c>
    </row>
    <row r="360" customFormat="false" ht="15" hidden="false" customHeight="false" outlineLevel="0" collapsed="false">
      <c r="A360" s="7" t="n">
        <v>359</v>
      </c>
      <c r="B360" s="7" t="s">
        <v>28</v>
      </c>
      <c r="C360" s="7" t="n">
        <v>4</v>
      </c>
      <c r="D360" s="7" t="n">
        <v>40</v>
      </c>
      <c r="E360" s="12" t="n">
        <f aca="false">VLOOKUP(D360,Cronograma!$A$5:$B$44,2,FALSE())</f>
        <v>46239</v>
      </c>
      <c r="F360" s="9" t="s">
        <v>16</v>
      </c>
    </row>
    <row r="361" customFormat="false" ht="15" hidden="false" customHeight="false" outlineLevel="0" collapsed="false">
      <c r="A361" s="7" t="n">
        <v>360</v>
      </c>
      <c r="B361" s="7" t="s">
        <v>28</v>
      </c>
      <c r="C361" s="7" t="n">
        <v>12</v>
      </c>
      <c r="D361" s="7" t="n">
        <v>40</v>
      </c>
      <c r="E361" s="12" t="n">
        <f aca="false">VLOOKUP(D361,Cronograma!$A$5:$B$44,2,FALSE())</f>
        <v>46239</v>
      </c>
      <c r="F361" s="9" t="s">
        <v>16</v>
      </c>
    </row>
    <row r="362" customFormat="false" ht="15" hidden="false" customHeight="false" outlineLevel="0" collapsed="false">
      <c r="A362" s="7" t="n">
        <v>361</v>
      </c>
      <c r="B362" s="7" t="s">
        <v>28</v>
      </c>
      <c r="C362" s="7" t="n">
        <v>12</v>
      </c>
      <c r="D362" s="7" t="n">
        <v>40</v>
      </c>
      <c r="E362" s="12" t="n">
        <f aca="false">VLOOKUP(D362,Cronograma!$A$5:$B$44,2,FALSE())</f>
        <v>46239</v>
      </c>
      <c r="F362" s="9" t="s">
        <v>16</v>
      </c>
    </row>
    <row r="363" customFormat="false" ht="15" hidden="false" customHeight="false" outlineLevel="0" collapsed="false">
      <c r="A363" s="7" t="n">
        <v>362</v>
      </c>
      <c r="B363" s="7" t="s">
        <v>28</v>
      </c>
      <c r="C363" s="7" t="n">
        <v>9</v>
      </c>
      <c r="D363" s="7" t="n">
        <v>40</v>
      </c>
      <c r="E363" s="12" t="n">
        <f aca="false">VLOOKUP(D363,Cronograma!$A$5:$B$44,2,FALSE())</f>
        <v>46239</v>
      </c>
      <c r="F363" s="9" t="s">
        <v>16</v>
      </c>
    </row>
    <row r="364" customFormat="false" ht="15" hidden="false" customHeight="false" outlineLevel="0" collapsed="false">
      <c r="A364" s="7" t="n">
        <v>363</v>
      </c>
      <c r="B364" s="7" t="s">
        <v>28</v>
      </c>
      <c r="C364" s="7" t="n">
        <v>10</v>
      </c>
      <c r="D364" s="7" t="n">
        <v>40</v>
      </c>
      <c r="E364" s="12" t="n">
        <f aca="false">VLOOKUP(D364,Cronograma!$A$5:$B$44,2,FALSE())</f>
        <v>46239</v>
      </c>
      <c r="F364" s="9" t="s">
        <v>16</v>
      </c>
    </row>
    <row r="365" customFormat="false" ht="15" hidden="false" customHeight="false" outlineLevel="0" collapsed="false">
      <c r="A365" s="7" t="n">
        <v>364</v>
      </c>
      <c r="B365" s="7" t="s">
        <v>28</v>
      </c>
      <c r="C365" s="7" t="n">
        <v>8</v>
      </c>
      <c r="D365" s="7" t="n">
        <v>40</v>
      </c>
      <c r="E365" s="12" t="n">
        <f aca="false">VLOOKUP(D365,Cronograma!$A$5:$B$44,2,FALSE())</f>
        <v>46239</v>
      </c>
      <c r="F365" s="9" t="s">
        <v>16</v>
      </c>
    </row>
    <row r="366" customFormat="false" ht="15" hidden="false" customHeight="false" outlineLevel="0" collapsed="false">
      <c r="A366" s="7" t="n">
        <v>365</v>
      </c>
      <c r="B366" s="7" t="s">
        <v>28</v>
      </c>
      <c r="C366" s="7" t="n">
        <v>45</v>
      </c>
      <c r="D366" s="7" t="n">
        <v>40</v>
      </c>
      <c r="E366" s="12" t="n">
        <f aca="false">VLOOKUP(D366,Cronograma!$A$5:$B$44,2,FALSE())</f>
        <v>46239</v>
      </c>
      <c r="F366" s="9" t="s">
        <v>16</v>
      </c>
    </row>
    <row r="367" customFormat="false" ht="15" hidden="false" customHeight="false" outlineLevel="0" collapsed="false">
      <c r="A367" s="7" t="n">
        <v>366</v>
      </c>
      <c r="B367" s="7" t="s">
        <v>28</v>
      </c>
      <c r="C367" s="7" t="n">
        <v>69</v>
      </c>
      <c r="D367" s="7" t="n">
        <v>40</v>
      </c>
      <c r="E367" s="12" t="n">
        <f aca="false">VLOOKUP(D367,Cronograma!$A$5:$B$44,2,FALSE())</f>
        <v>46239</v>
      </c>
      <c r="F367" s="9" t="s">
        <v>16</v>
      </c>
    </row>
  </sheetData>
  <dataValidations count="1">
    <dataValidation allowBlank="true" errorStyle="stop" operator="between" showDropDown="false" showErrorMessage="false" showInputMessage="false" sqref="F2:F367" type="list">
      <formula1>"Pendente,Concluido"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2026-06-26T14:30:49Z</dcterms:created>
  <dc:creator>openpyxl</dc:creator>
  <dc:description/>
  <dc:language>en-US</dc:language>
  <cp:lastModifiedBy/>
  <dcterms:modified xsi:type="dcterms:W3CDTF">2026-06-26T14:30:49Z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